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48a685da9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3fa330aa3be4f1b"/>
    <x:sheet xmlns:r="http://schemas.openxmlformats.org/officeDocument/2006/relationships" name="Summary" sheetId="2" r:id="Rc7a9df9cdf184ea8"/>
    <x:sheet xmlns:r="http://schemas.openxmlformats.org/officeDocument/2006/relationships" name="Iteration 1" sheetId="3" r:id="Rf9fdc44de7584347"/>
    <x:sheet xmlns:r="http://schemas.openxmlformats.org/officeDocument/2006/relationships" name="Iteration 2" sheetId="4" r:id="R243b1bc635f64507"/>
    <x:sheet xmlns:r="http://schemas.openxmlformats.org/officeDocument/2006/relationships" name="Iteration 3" sheetId="5" r:id="Reb5ec8e3ce674266"/>
    <x:sheet xmlns:r="http://schemas.openxmlformats.org/officeDocument/2006/relationships" name="Iteration 4" sheetId="6" r:id="Rcac2abba44f941fe"/>
    <x:sheet xmlns:r="http://schemas.openxmlformats.org/officeDocument/2006/relationships" name="Iteration 5" sheetId="7" r:id="R53fbf5c7db804f21"/>
    <x:sheet xmlns:r="http://schemas.openxmlformats.org/officeDocument/2006/relationships" name="Structured Export" sheetId="8" r:id="R7c2bd76a986a4bd6"/>
  </x:sheets>
</x:workbook>
</file>

<file path=xl/sharedStrings.xml><?xml version="1.0" encoding="utf-8"?>
<x:sst xmlns:x="http://schemas.openxmlformats.org/spreadsheetml/2006/main">
  <x:si>
    <x:t xml:space="preserve">AI Ray Tracer Assessment Workbook</x:t>
  </x:si>
  <x:si>
    <x:t xml:space="preserve">Field</x:t>
  </x:si>
  <x:si>
    <x:t xml:space="preserve">Instructions</x:t>
  </x:si>
  <x:si>
    <x:t xml:space="preserve">Actual Deliverables</x:t>
  </x:si>
  <x:si>
    <x:t xml:space="preserve">Enter the number of requested deliverables visibly achieved in the render.</x:t>
  </x:si>
  <x:si>
    <x:t xml:space="preserve">Deliverable Score</x:t>
  </x:si>
  <x:si>
    <x:t xml:space="preserve">Calculated automatically as Actual Deliverables / Required Deliverables.</x:t>
  </x:si>
  <x:si>
    <x:t xml:space="preserve">Visual Appeal Rating</x:t>
  </x:si>
  <x:si>
    <x:t xml:space="preserve">Enter a whole-number rating from 1 to 10.</x:t>
  </x:si>
  <x:si>
    <x:t xml:space="preserve">Rating Reasoning</x:t>
  </x:si>
  <x:si>
    <x:t xml:space="preserve">Briefly explain why the render received that visual appeal rating.</x:t>
  </x:si>
  <x:si>
    <x:t xml:space="preserve">Assessment Score</x:t>
  </x:si>
  <x:si>
    <x:t xml:space="preserve">Calculated as 0.5 × (Rating × 10) + 0.5 × (Deliverable Score × 100).</x:t>
  </x:si>
  <x:si>
    <x:t xml:space="preserve">Score Interpretation</x:t>
  </x:si>
  <x:si>
    <x:t xml:space="preserve">Suggested Meaning</x:t>
  </x:si>
  <x:si>
    <x:t xml:space="preserve">90–100</x:t>
  </x:si>
  <x:si>
    <x:t xml:space="preserve">Excellent</x:t>
  </x:si>
  <x:si>
    <x:t xml:space="preserve">75–89.99</x:t>
  </x:si>
  <x:si>
    <x:t xml:space="preserve">Acceptable</x:t>
  </x:si>
  <x:si>
    <x:t xml:space="preserve">Below 75</x:t>
  </x:si>
  <x:si>
    <x:t xml:space="preserve">Needs Improvement</x:t>
  </x:si>
  <x:si>
    <x:t xml:space="preserve">Structured Data Fields</x:t>
  </x:si>
  <x:si>
    <x:t xml:space="preserve">Usage</x:t>
  </x:si>
  <x:si>
    <x:t xml:space="preserve">Software Version</x:t>
  </x:si>
  <x:si>
    <x:t xml:space="preserve">Enter the tested software version on each iteration tab.</x:t>
  </x:si>
  <x:si>
    <x:t xml:space="preserve">Failed Deliverable Numbers</x:t>
  </x:si>
  <x:si>
    <x:t xml:space="preserve">Enter comma-separated deliverable numbers, for example: 1, 4, 3.</x:t>
  </x:si>
  <x:si>
    <x:t xml:space="preserve">Structured Export</x:t>
  </x:si>
  <x:si>
    <x:t xml:space="preserve">Select an iteration and copy the generated output into Codex.</x:t>
  </x:si>
  <x:si>
    <x:t xml:space="preserve">AI Ray Tracer Assessment Summary</x:t>
  </x:si>
  <x:si>
    <x:t xml:space="preserve">Iteration</x:t>
  </x:si>
  <x:si>
    <x:t xml:space="preserve">Completed Renders</x:t>
  </x:si>
  <x:si>
    <x:t xml:space="preserve">Assessment Date</x:t>
  </x:si>
  <x:si>
    <x:t xml:space="preserve">Iteration 1</x:t>
  </x:si>
  <x:si>
    <x:t xml:space="preserve">Iteration 2</x:t>
  </x:si>
  <x:si>
    <x:t xml:space="preserve">Iteration 3</x:t>
  </x:si>
  <x:si>
    <x:t xml:space="preserve">Iteration 4</x:t>
  </x:si>
  <x:si>
    <x:t xml:space="preserve">Iteration 5</x:t>
  </x:si>
  <x:si>
    <x:t xml:space="preserve">Overall Average Across All Iterations</x:t>
  </x:si>
  <x:si>
    <x:t xml:space="preserve">AI Ray Tracer Assessment — Iteration 1</x:t>
  </x:si>
  <x:si>
    <x:t xml:space="preserve">Operator</x:t>
  </x:si>
  <x:si>
    <x:t xml:space="preserve">Luke Neumann</x:t>
  </x:si>
  <x:si>
    <x:t xml:space="preserve">Render</x:t>
  </x:si>
  <x:si>
    <x:t xml:space="preserve">Required Deliverables</x:t>
  </x:si>
  <x:si>
    <x:t xml:space="preserve">Visual Appeal Rating (1–10)</x:t>
  </x:si>
  <x:si>
    <x:t xml:space="preserve">Glass, Chrome, and Reflections</x:t>
  </x:si>
  <x:si>
    <x:t xml:space="preserve">3, 9</x:t>
  </x:si>
  <x:si>
    <x:t xml:space="preserve">Objects are not well placed, they are jumbled by each other. Shadows and reflection look off, and reflection. </x:t>
  </x:si>
  <x:si>
    <x:t xml:space="preserve">Neon Planetary System</x:t>
  </x:si>
  <x:si>
    <x:t xml:space="preserve">2, 3, 4, 5, 6</x:t>
  </x:si>
  <x:si>
    <x:t xml:space="preserve">Interesting image, looks quite abstract and honestly quite creative, the colors blend well.</x:t>
  </x:si>
  <x:si>
    <x:t xml:space="preserve">Pattern Material Gallery</x:t>
  </x:si>
  <x:si>
    <x:t xml:space="preserve">Most patterns seem to come out well but the checkered sphere </x:t>
  </x:si>
  <x:si>
    <x:t xml:space="preserve">Geometric Sci-Fi Temple</x:t>
  </x:si>
  <x:si>
    <x:t xml:space="preserve">1, 3, 5, 6</x:t>
  </x:si>
  <x:si>
    <x:t xml:space="preserve">Looks unclear of what the object is, camera positioning is bad. </x:t>
  </x:si>
  <x:si>
    <x:t xml:space="preserve">Abstract Recursive Sculpture</x:t>
  </x:si>
  <x:si>
    <x:t xml:space="preserve">2, 3, 4, 7</x:t>
  </x:si>
  <x:si>
    <x:t xml:space="preserve">Unclear of what object is, absolutely no sense of what is going on here. Although it did line up some shapes together and made it somewhat cool </x:t>
  </x:si>
  <x:si>
    <x:t xml:space="preserve">Surreal Checkerboard Landscape</x:t>
  </x:si>
  <x:si>
    <x:t xml:space="preserve">Has random Light blue on it, doesn’t make sense with the scene. Weird floating objects that don’t make sense either. But some of the scene looks cool </x:t>
  </x:si>
  <x:si>
    <x:t xml:space="preserve">Iteration Overall Assessment Score</x:t>
  </x:si>
  <x:si>
    <x:t xml:space="preserve">AI Ray Tracer Assessment — Iteration 2</x:t>
  </x:si>
  <x:si>
    <x:t xml:space="preserve">AI Ray Tracer Assessment — Iteration 3</x:t>
  </x:si>
  <x:si>
    <x:t xml:space="preserve">AI Ray Tracer Assessment — Iteration 4</x:t>
  </x:si>
  <x:si>
    <x:t xml:space="preserve">AI Ray Tracer Assessment — Iteration 5</x:t>
  </x:si>
  <x:si>
    <x:t xml:space="preserve">Structured Assessment Export</x:t>
  </x:si>
  <x:si>
    <x:t xml:space="preserve">Select Iteration</x:t>
  </x:si>
  <x:si>
    <x:t xml:space="preserve">Selected Value</x:t>
  </x:si>
  <x:si>
    <x:t xml:space="preserve">Overall Assessment Score</x:t>
  </x:si>
  <x:si>
    <x:t xml:space="preserve">Required</x:t>
  </x:si>
  <x:si>
    <x:t xml:space="preserve">Actual</x:t>
  </x:si>
  <x:si>
    <x:t xml:space="preserve">Failed Deliverables</x:t>
  </x:si>
  <x:si>
    <x:t xml:space="preserve">Visual Rating</x:t>
  </x:si>
  <x:si>
    <x:t xml:space="preserve">Copy-Ready Codex Output</x:t>
  </x:si>
  <x:si>
    <x:t xml:space="preserve">Enter failed deliverable numbers as comma-separated values, such as 1, 4, 3. Select an iteration above, then copy the generated structured output into Codex.</x:t>
  </x:si>
</x:sst>
</file>

<file path=xl/styles.xml><?xml version="1.0" encoding="utf-8"?>
<x:styleSheet xmlns:x="http://schemas.openxmlformats.org/spreadsheetml/2006/main">
  <x:numFmts count="3">
    <x:numFmt numFmtId="164" formatCode="mm/dd/yyyy"/>
    <x:numFmt numFmtId="200" formatCode="0.00"/>
    <x:numFmt numFmtId="201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sz val="10"/>
      <x:name val="Consola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2" fillId="3" borderId="0" xfId="0" applyFont="1" applyFill="1" applyAlignment="1">
      <x:alignment horizontal="center"/>
    </x:xf>
    <x:xf numFmtId="0" fontId="2" fillId="3" borderId="1" xfId="0" applyFont="1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3" fillId="4" borderId="3" xfId="0" applyFont="1" applyFill="1" applyBorder="1"/>
    <x:xf numFmtId="0" fontId="3" fillId="4" borderId="5" xfId="0" applyFont="1" applyFill="1" applyBorder="1"/>
    <x:xf numFmtId="0" fontId="0" fillId="0" borderId="4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2" fillId="3" borderId="13" xfId="0" applyFont="1" applyFill="1" applyBorder="1" applyAlignment="1">
      <x:alignment horizontal="center" vertical="center" wrapText="1"/>
    </x:xf>
    <x:xf numFmtId="0" fontId="2" fillId="3" borderId="14" xfId="0" applyFont="1" applyFill="1" applyBorder="1" applyAlignment="1">
      <x:alignment horizontal="center" vertical="center" wrapText="1"/>
    </x:xf>
    <x:xf numFmtId="0" fontId="2" fillId="3" borderId="15" xfId="0" applyFont="1" applyFill="1" applyBorder="1" applyAlignment="1">
      <x:alignment horizontal="center" vertical="center" wrapText="1"/>
    </x:xf>
    <x:xf numFmtId="0" fontId="0" fillId="0" borderId="16" xfId="0" applyBorder="1"/>
    <x:xf numFmtId="0" fontId="0" fillId="0" borderId="17" xfId="0" applyBorder="1"/>
    <x:xf numFmtId="0" fontId="0" fillId="0" borderId="18" xfId="0" applyBorder="1"/>
    <x:xf numFmtId="0" fontId="0" fillId="0" borderId="16" xfId="0" applyBorder="1" applyAlignment="1">
      <x:alignment wrapText="1"/>
    </x:xf>
    <x:xf numFmtId="0" fontId="0" fillId="0" borderId="17" xfId="0" applyBorder="1" applyAlignment="1">
      <x:alignment wrapText="1"/>
    </x:xf>
    <x:xf numFmtId="2" fontId="3" fillId="4" borderId="0" xfId="0" applyNumberFormat="1" applyFont="1" applyFill="1"/>
    <x:xf numFmtId="10" fontId="0" fillId="0" borderId="0" xfId="0" applyNumberFormat="1"/>
    <x:xf numFmtId="2" fontId="0" fillId="0" borderId="0" xfId="0" applyNumberFormat="1"/>
    <x:xf numFmtId="10" fontId="0" fillId="0" borderId="18" xfId="0" applyNumberFormat="1" applyBorder="1"/>
    <x:xf numFmtId="2" fontId="0" fillId="0" borderId="18" xfId="0" applyNumberFormat="1" applyBorder="1"/>
    <x:xf numFmtId="0" fontId="0" fillId="0" borderId="0" xfId="0" applyAlignment="1">
      <x:alignment wrapText="1"/>
    </x:xf>
    <x:xf numFmtId="0" fontId="3" fillId="5" borderId="0" xfId="0" applyFont="1" applyFill="1"/>
    <x:xf numFmtId="0" fontId="3" fillId="5" borderId="0" xfId="0" applyFont="1" applyFill="1" applyAlignment="1">
      <x:alignment vertical="center"/>
    </x:xf>
    <x:xf numFmtId="164" fontId="3" fillId="6" borderId="0" xfId="0" applyNumberFormat="1" applyFont="1" applyFill="1" applyAlignment="1">
      <x:alignment vertical="center"/>
    </x:xf>
    <x:xf numFmtId="0" fontId="2" fillId="7" borderId="1" xfId="0" applyFont="1" applyFill="1" applyBorder="1" applyAlignment="1">
      <x:alignment horizontal="center" vertical="center" wrapText="1"/>
    </x:xf>
    <x:xf numFmtId="0" fontId="2" fillId="7" borderId="14" xfId="0" applyFont="1" applyFill="1" applyBorder="1" applyAlignment="1">
      <x:alignment horizontal="center" vertical="center" wrapText="1"/>
    </x:xf>
    <x:xf numFmtId="0" fontId="2" fillId="7" borderId="2" xfId="0" applyFont="1" applyFill="1" applyBorder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2" fontId="3" fillId="5" borderId="0" xfId="0" applyNumberFormat="1" applyFont="1" applyFill="1"/>
    <x:xf numFmtId="0" fontId="0" fillId="6" borderId="0" xfId="0" applyFill="1" applyAlignment="1">
      <x:alignment horizontal="center" wrapText="1"/>
    </x:xf>
    <x:xf numFmtId="0" fontId="0" fillId="6" borderId="18" xfId="0" applyFill="1" applyBorder="1" applyAlignment="1">
      <x:alignment horizontal="center" wrapText="1"/>
    </x:xf>
    <x:xf numFmtId="0" fontId="0" fillId="6" borderId="0" xfId="0" applyFill="1" applyAlignment="1">
      <x:alignment wrapText="1"/>
    </x:xf>
    <x:xf numFmtId="0" fontId="0" fillId="6" borderId="18" xfId="0" applyFill="1" applyBorder="1" applyAlignment="1">
      <x:alignment wrapText="1"/>
    </x:xf>
    <x:xf numFmtId="2" fontId="0" fillId="6" borderId="4" xfId="0" applyNumberFormat="1" applyFill="1" applyBorder="1" applyAlignment="1">
      <x:alignment horizontal="center" wrapText="1"/>
    </x:xf>
    <x:xf numFmtId="2" fontId="0" fillId="6" borderId="6" xfId="0" applyNumberFormat="1" applyFill="1" applyBorder="1" applyAlignment="1">
      <x:alignment horizontal="center" wrapText="1"/>
    </x:xf>
    <x:xf numFmtId="10" fontId="0" fillId="8" borderId="0" xfId="0" applyNumberFormat="1" applyFill="1" applyAlignment="1">
      <x:alignment horizontal="center"/>
    </x:xf>
    <x:xf numFmtId="10" fontId="0" fillId="8" borderId="18" xfId="0" applyNumberFormat="1" applyFill="1" applyBorder="1" applyAlignment="1">
      <x:alignment horizontal="center"/>
    </x:xf>
    <x:xf numFmtId="2" fontId="0" fillId="8" borderId="0" xfId="0" applyNumberFormat="1" applyFill="1" applyAlignment="1">
      <x:alignment horizontal="center"/>
    </x:xf>
    <x:xf numFmtId="49" fontId="0" fillId="6" borderId="0" xfId="0" applyNumberFormat="1" applyFill="1" applyAlignment="1">
      <x:alignment horizontal="center" wrapText="1"/>
    </x:xf>
    <x:xf numFmtId="49" fontId="0" fillId="6" borderId="18" xfId="0" applyNumberFormat="1" applyFill="1" applyBorder="1" applyAlignment="1">
      <x:alignment horizontal="center" wrapText="1"/>
    </x:xf>
    <x:xf numFmtId="164" fontId="0" fillId="0" borderId="4" xfId="0" applyNumberFormat="1" applyBorder="1"/>
    <x:xf numFmtId="164" fontId="0" fillId="0" borderId="6" xfId="0" applyNumberFormat="1" applyBorder="1"/>
    <x:xf numFmtId="164" fontId="0" fillId="0" borderId="0" xfId="0" applyNumberFormat="1"/>
    <x:xf numFmtId="0" fontId="3" fillId="6" borderId="0" xfId="0" applyFont="1" applyFill="1"/>
    <x:xf numFmtId="0" fontId="2" fillId="7" borderId="0" xfId="0" applyFont="1" applyFill="1" applyAlignment="1">
      <x:alignment horizontal="center"/>
    </x:xf>
    <x:xf numFmtId="0" fontId="2" fillId="7" borderId="19" xfId="0" applyFont="1" applyFill="1" applyBorder="1" applyAlignment="1">
      <x:alignment horizontal="center" vertical="center" wrapText="1"/>
    </x:xf>
    <x:xf numFmtId="0" fontId="2" fillId="7" borderId="20" xfId="0" applyFont="1" applyFill="1" applyBorder="1" applyAlignment="1">
      <x:alignment horizontal="center" vertical="center" wrapText="1"/>
    </x:xf>
    <x:xf numFmtId="0" fontId="2" fillId="7" borderId="21" xfId="0" applyFont="1" applyFill="1" applyBorder="1" applyAlignment="1">
      <x:alignment horizontal="center" vertical="center" wrapText="1"/>
    </x:xf>
    <x:xf numFmtId="0" fontId="0" fillId="0" borderId="22" xfId="0" applyBorder="1"/>
    <x:xf numFmtId="2" fontId="0" fillId="0" borderId="23" xfId="0" applyNumberFormat="1" applyBorder="1"/>
    <x:xf numFmtId="0" fontId="0" fillId="0" borderId="24" xfId="0" applyBorder="1"/>
    <x:xf numFmtId="0" fontId="0" fillId="0" borderId="25" xfId="0" applyBorder="1"/>
    <x:xf numFmtId="10" fontId="0" fillId="0" borderId="25" xfId="0" applyNumberFormat="1" applyBorder="1"/>
    <x:xf numFmtId="0" fontId="0" fillId="0" borderId="25" xfId="0" applyBorder="1" applyAlignment="1">
      <x:alignment wrapText="1"/>
    </x:xf>
    <x:xf numFmtId="2" fontId="0" fillId="0" borderId="26" xfId="0" applyNumberFormat="1" applyBorder="1"/>
    <x:xf numFmtId="0" fontId="1" fillId="2" borderId="0" xfId="0" applyFont="1" applyFill="1" applyAlignment="1">
      <x:alignment horizontal="center" vertical="center"/>
    </x:xf>
    <x:xf numFmtId="0" fontId="3" fillId="4" borderId="0" xfId="0" applyFont="1" applyFill="1"/>
    <x:xf numFmtId="0" fontId="4" fillId="2" borderId="0" xfId="0" applyFont="1" applyFill="1" applyAlignment="1">
      <x:alignment horizontal="center" vertical="center"/>
    </x:xf>
    <x:xf numFmtId="0" fontId="3" fillId="6" borderId="0" xfId="0" applyFont="1" applyFill="1" applyAlignment="1">
      <x:alignment vertical="center"/>
    </x:xf>
    <x:xf numFmtId="0" fontId="5" fillId="5" borderId="0" xfId="0" applyFont="1" applyFill="1" applyAlignment="1">
      <x:alignment vertical="center"/>
    </x:xf>
    <x:xf numFmtId="2" fontId="5" fillId="5" borderId="0" xfId="0" applyNumberFormat="1" applyFont="1" applyFill="1" applyAlignment="1">
      <x:alignment vertical="center"/>
    </x:xf>
    <x:xf numFmtId="0" fontId="1" fillId="9" borderId="0" xfId="0" applyFont="1" applyFill="1" applyAlignment="1">
      <x:alignment horizontal="center" vertical="center"/>
    </x:xf>
    <x:xf numFmtId="0" fontId="2" fillId="9" borderId="0" xfId="0" applyFont="1" applyFill="1" applyAlignment="1">
      <x:alignment horizontal="center"/>
    </x:xf>
    <x:xf numFmtId="0" fontId="6" fillId="10" borderId="0" xfId="0" applyFont="1" applyFill="1" applyAlignment="1">
      <x:alignment vertical="top" wrapText="1"/>
    </x:xf>
    <x:xf numFmtId="0" fontId="0" fillId="5" borderId="0" xfId="0" applyFill="1" applyAlignment="1">
      <x:alignment wrapText="1"/>
    </x:xf>
    <x:xf numFmtId="0" fontId="0" fillId="0" borderId="27" xfId="0" applyNumberFormat="1" applyFont="1" applyFill="1" applyBorder="1"/>
    <x:xf numFmtId="0" fontId="2" fillId="3" borderId="27" xfId="0" applyNumberFormat="1" applyFont="1" applyFill="1" applyBorder="1" applyAlignment="1">
      <x:alignment horizontal="center"/>
    </x:xf>
    <x:xf numFmtId="0" fontId="3" fillId="4" borderId="27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2" fontId="3" fillId="4" borderId="27" xfId="0" applyNumberFormat="1" applyFont="1" applyFill="1" applyBorder="1"/>
    <x:xf numFmtId="10" fontId="0" fillId="0" borderId="27" xfId="0" applyNumberFormat="1" applyFont="1" applyFill="1" applyBorder="1"/>
    <x:xf numFmtId="2" fontId="0" fillId="0" borderId="27" xfId="0" applyNumberFormat="1" applyFont="1" applyFill="1" applyBorder="1"/>
    <x:xf numFmtId="0" fontId="3" fillId="4" borderId="27" xfId="0" applyNumberFormat="1" applyFont="1" applyFill="1" applyBorder="1" applyAlignment="1">
      <x:alignment vertical="center"/>
    </x:xf>
    <x:xf numFmtId="164" fontId="3" fillId="6" borderId="27" xfId="0" applyNumberFormat="1" applyFont="1" applyFill="1" applyBorder="1" applyAlignment="1">
      <x:alignment vertical="center"/>
    </x:xf>
    <x:xf numFmtId="0" fontId="0" fillId="6" borderId="27" xfId="0" applyNumberFormat="1" applyFont="1" applyFill="1" applyBorder="1" applyAlignment="1">
      <x:alignment horizontal="center" wrapText="1"/>
    </x:xf>
    <x:xf numFmtId="0" fontId="0" fillId="6" borderId="27" xfId="0" applyNumberFormat="1" applyFont="1" applyFill="1" applyBorder="1" applyAlignment="1">
      <x:alignment wrapText="1"/>
    </x:xf>
    <x:xf numFmtId="2" fontId="0" fillId="6" borderId="27" xfId="0" applyNumberFormat="1" applyFont="1" applyFill="1" applyBorder="1" applyAlignment="1">
      <x:alignment horizontal="center" wrapText="1"/>
    </x:xf>
    <x:xf numFmtId="10" fontId="0" fillId="8" borderId="27" xfId="0" applyNumberFormat="1" applyFont="1" applyFill="1" applyBorder="1" applyAlignment="1">
      <x:alignment horizontal="center"/>
    </x:xf>
    <x:xf numFmtId="2" fontId="0" fillId="8" borderId="27" xfId="0" applyNumberFormat="1" applyFont="1" applyFill="1" applyBorder="1" applyAlignment="1">
      <x:alignment horizontal="center"/>
    </x:xf>
    <x:xf numFmtId="49" fontId="0" fillId="6" borderId="27" xfId="0" applyNumberFormat="1" applyFont="1" applyFill="1" applyBorder="1" applyAlignment="1">
      <x:alignment horizontal="center" wrapText="1"/>
    </x:xf>
    <x:xf numFmtId="164" fontId="0" fillId="0" borderId="27" xfId="0" applyNumberFormat="1" applyFont="1" applyFill="1" applyBorder="1"/>
    <x:xf numFmtId="0" fontId="3" fillId="6" borderId="27" xfId="0" applyNumberFormat="1" applyFont="1" applyFill="1" applyBorder="1"/>
    <x:xf numFmtId="0" fontId="1" fillId="2" borderId="27" xfId="0" applyNumberFormat="1" applyFont="1" applyFill="1" applyBorder="1" applyAlignment="1">
      <x:alignment horizontal="center" vertical="center"/>
    </x:xf>
    <x:xf numFmtId="0" fontId="4" fillId="2" borderId="27" xfId="0" applyNumberFormat="1" applyFont="1" applyFill="1" applyBorder="1" applyAlignment="1">
      <x:alignment horizontal="center" vertical="center"/>
    </x:xf>
    <x:xf numFmtId="0" fontId="3" fillId="6" borderId="27" xfId="0" applyNumberFormat="1" applyFont="1" applyFill="1" applyBorder="1" applyAlignment="1">
      <x:alignment vertical="center"/>
    </x:xf>
    <x:xf numFmtId="0" fontId="5" fillId="4" borderId="27" xfId="0" applyNumberFormat="1" applyFont="1" applyFill="1" applyBorder="1" applyAlignment="1">
      <x:alignment vertical="center"/>
    </x:xf>
    <x:xf numFmtId="2" fontId="5" fillId="4" borderId="27" xfId="0" applyNumberFormat="1" applyFont="1" applyFill="1" applyBorder="1" applyAlignment="1">
      <x:alignment vertical="center"/>
    </x:xf>
    <x:xf numFmtId="0" fontId="2" fillId="2" borderId="27" xfId="0" applyNumberFormat="1" applyFont="1" applyFill="1" applyBorder="1" applyAlignment="1">
      <x:alignment horizontal="center"/>
    </x:xf>
    <x:xf numFmtId="0" fontId="6" fillId="10" borderId="27" xfId="0" applyNumberFormat="1" applyFont="1" applyFill="1" applyBorder="1" applyAlignment="1">
      <x:alignment vertical="top" wrapText="1"/>
    </x:xf>
    <x:xf numFmtId="0" fontId="0" fillId="4" borderId="2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7" xfId="0" applyNumberFormat="1" applyFont="1" applyFill="1" applyBorder="1"/>
    <x:xf numFmtId="201" fontId="0" fillId="0" borderId="0" xfId="0" applyNumberFormat="1" applyFont="1" applyFill="1" applyBorder="1"/>
    <x:xf numFmtId="201" fontId="0" fillId="0" borderId="27" xfId="0" applyNumberFormat="1" applyFont="1" applyFill="1" applyBorder="1"/>
    <x:xf numFmtId="164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27" xfId="0" applyNumberFormat="1" applyFont="1" applyFill="1" applyBorder="1"/>
    <x:xf numFmtId="201" fontId="3" fillId="6" borderId="0" xfId="0" applyNumberFormat="1" applyFont="1" applyFill="1" applyBorder="1" applyAlignment="1">
      <x:alignment vertical="center"/>
    </x:xf>
    <x:xf numFmtId="201" fontId="3" fillId="6" borderId="27" xfId="0" applyNumberFormat="1" applyFont="1" applyFill="1" applyBorder="1" applyAlignment="1">
      <x:alignment vertical="center"/>
    </x:xf>
    <x:xf numFmtId="164" fontId="3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78fee4dc5499c" /><Relationship Type="http://schemas.openxmlformats.org/officeDocument/2006/relationships/theme" Target="/xl/theme/theme1.xml" Id="R5b01dab823b44504" /><Relationship Type="http://schemas.openxmlformats.org/officeDocument/2006/relationships/sharedStrings" Target="/xl/sharedStrings.xml" Id="R61b28e9588264f59" /><Relationship Type="http://schemas.openxmlformats.org/officeDocument/2006/relationships/worksheet" Target="/xl/worksheets/sheet1.xml" Id="Re3fa330aa3be4f1b" /><Relationship Type="http://schemas.openxmlformats.org/officeDocument/2006/relationships/worksheet" Target="/xl/worksheets/sheet2.xml" Id="Rc7a9df9cdf184ea8" /><Relationship Type="http://schemas.openxmlformats.org/officeDocument/2006/relationships/worksheet" Target="/xl/worksheets/sheet3.xml" Id="Rf9fdc44de7584347" /><Relationship Type="http://schemas.openxmlformats.org/officeDocument/2006/relationships/worksheet" Target="/xl/worksheets/sheet4.xml" Id="R243b1bc635f64507" /><Relationship Type="http://schemas.openxmlformats.org/officeDocument/2006/relationships/worksheet" Target="/xl/worksheets/sheet5.xml" Id="Reb5ec8e3ce674266" /><Relationship Type="http://schemas.openxmlformats.org/officeDocument/2006/relationships/worksheet" Target="/xl/worksheets/sheet6.xml" Id="Rcac2abba44f941fe" /><Relationship Type="http://schemas.openxmlformats.org/officeDocument/2006/relationships/worksheet" Target="/xl/worksheets/sheet7.xml" Id="R53fbf5c7db804f21" /><Relationship Type="http://schemas.openxmlformats.org/officeDocument/2006/relationships/worksheet" Target="/xl/worksheets/sheet8.xml" Id="R7c2bd76a986a4b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e099e8f7d245b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Deliverable Score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Visual Appeal Score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'Summary'!$C$4:$C$8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Assessment Score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'Summary'!$D$4:$D$8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Iteration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Score (0–100)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e099e8f7d245b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bbfb81f717b4c00" /></Relationships>
</file>

<file path=xl/worksheets/sheet1.xml><?xml version="1.0" encoding="utf-8"?>
<x:worksheet xmlns:x="http://schemas.openxmlformats.org/spreadsheetml/2006/main">
  <x:sheetFormatPr defaultRowHeight="14.25"/>
  <x:cols>
    <x:col min="1" max="1" width="24" customWidth="1"/>
    <x:col min="2" max="2" width="75" customWidth="1"/>
  </x:cols>
  <x:sheetData>
    <x:row r="1" ht="30" customHeight="1">
      <x:c r="A1" s="62" t="s">
        <x:v>0</x:v>
      </x:c>
      <x:c r="B1" s="62"/>
      <x:c r="C1" s="62"/>
      <x:c r="D1" s="62"/>
      <x:c r="E1" s="62"/>
      <x:c r="F1" s="62"/>
    </x:row>
    <x:row r="3" ht="15">
      <x:c r="A3" s="2" t="s">
        <x:v>1</x:v>
      </x:c>
      <x:c r="B3" s="3" t="s">
        <x:v>2</x:v>
      </x:c>
    </x:row>
    <x:row r="4" ht="15">
      <x:c r="A4" s="4" t="s">
        <x:v>3</x:v>
      </x:c>
      <x:c r="B4" s="6" t="s">
        <x:v>4</x:v>
      </x:c>
    </x:row>
    <x:row r="5" ht="15">
      <x:c r="A5" s="4" t="s">
        <x:v>5</x:v>
      </x:c>
      <x:c r="B5" s="6" t="s">
        <x:v>6</x:v>
      </x:c>
    </x:row>
    <x:row r="6" ht="15">
      <x:c r="A6" s="4" t="s">
        <x:v>7</x:v>
      </x:c>
      <x:c r="B6" s="6" t="s">
        <x:v>8</x:v>
      </x:c>
    </x:row>
    <x:row r="7" ht="15">
      <x:c r="A7" s="4" t="s">
        <x:v>9</x:v>
      </x:c>
      <x:c r="B7" s="6" t="s">
        <x:v>10</x:v>
      </x:c>
    </x:row>
    <x:row r="8" ht="15">
      <x:c r="A8" s="5" t="s">
        <x:v>11</x:v>
      </x:c>
      <x:c r="B8" s="7" t="s">
        <x:v>12</x:v>
      </x:c>
    </x:row>
    <x:row r="10" ht="15">
      <x:c r="A10" s="1" t="s">
        <x:v>13</x:v>
      </x:c>
      <x:c r="B10" s="1" t="s">
        <x:v>14</x:v>
      </x:c>
    </x:row>
    <x:row r="11">
      <x:c r="A11" s="8" t="s">
        <x:v>15</x:v>
      </x:c>
      <x:c r="B11" s="9" t="s">
        <x:v>16</x:v>
      </x:c>
    </x:row>
    <x:row r="12">
      <x:c r="A12" s="10" t="s">
        <x:v>17</x:v>
      </x:c>
      <x:c r="B12" s="11" t="s">
        <x:v>18</x:v>
      </x:c>
    </x:row>
    <x:row r="13">
      <x:c r="A13" s="12" t="s">
        <x:v>19</x:v>
      </x:c>
      <x:c r="B13" s="13" t="s">
        <x:v>20</x:v>
      </x:c>
    </x:row>
    <x:row r="15" ht="15">
      <x:c r="A15" s="51" t="s">
        <x:v>21</x:v>
      </x:c>
      <x:c r="B15" s="51" t="s">
        <x:v>22</x:v>
      </x:c>
    </x:row>
    <x:row r="16" ht="15">
      <x:c r="A16" s="28" t="s">
        <x:v>23</x:v>
      </x:c>
      <x:c r="B16" s="27" t="s">
        <x:v>24</x:v>
      </x:c>
    </x:row>
    <x:row r="17" ht="15">
      <x:c r="A17" s="28" t="s">
        <x:v>25</x:v>
      </x:c>
      <x:c r="B17" s="27" t="s">
        <x:v>26</x:v>
      </x:c>
    </x:row>
    <x:row r="18" ht="15">
      <x:c r="A18" s="28" t="s">
        <x:v>27</x:v>
      </x:c>
      <x:c r="B18" s="27" t="s">
        <x:v>28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8" customWidth="1"/>
    <x:col min="2" max="4" width="21" customWidth="1"/>
    <x:col min="5" max="5" width="18" customWidth="1"/>
    <x:col min="6" max="6" width="22" customWidth="1"/>
    <x:col min="7" max="7" width="18" customWidth="1"/>
  </x:cols>
  <x:sheetData>
    <x:row r="1" ht="30" customHeight="1">
      <x:c r="A1" s="62" t="s">
        <x:v>29</x:v>
      </x:c>
      <x:c r="B1" s="62"/>
      <x:c r="C1" s="62"/>
      <x:c r="D1" s="62"/>
      <x:c r="E1" s="62"/>
      <x:c r="F1" s="62"/>
      <x:c r="G1" s="62"/>
    </x:row>
    <x:row r="3" ht="33.95000076293945" customHeight="1">
      <x:c r="A3" s="14" t="s">
        <x:v>30</x:v>
      </x:c>
      <x:c r="B3" s="98" t="str">
        <x:v>Avg. Deliverable Score (0–100)</x:v>
      </x:c>
      <x:c r="C3" s="98" t="str">
        <x:v>Avg. Visual Rating (0–100)</x:v>
      </x:c>
      <x:c r="D3" s="98" t="str">
        <x:v>Overall Assessment Score (0–100)</x:v>
      </x:c>
      <x:c r="E3" s="15" t="s">
        <x:v>31</x:v>
      </x:c>
      <x:c r="F3" s="15" t="s">
        <x:v>23</x:v>
      </x:c>
      <x:c r="G3" s="16" t="s">
        <x:v>32</x:v>
      </x:c>
    </x:row>
    <x:row r="4">
      <x:c r="A4" s="17" t="s">
        <x:v>33</x:v>
      </x:c>
      <x:c r="B4" s="99" t="n">
        <x:f>IF(COUNT('Iteration 1'!E4:E9)=0,"",AVERAGE('Iteration 1'!E4:E9)*100)</x:f>
        <x:v>76.41414141414141</x:v>
      </x:c>
      <x:c r="C4" s="99" t="n">
        <x:f>IF(COUNT('Iteration 1'!F4:F9)=0,"",AVERAGE('Iteration 1'!F4:F9)*10)</x:f>
        <x:v>43.33333333333333</x:v>
      </x:c>
      <x:c r="D4" s="99" t="n">
        <x:f>IF(COUNT('Iteration 1'!H4:H9)=0,"",AVERAGE('Iteration 1'!H4:H9))</x:f>
        <x:v>59.87373737373738</x:v>
      </x:c>
      <x:c r="E4" t="n">
        <x:f>COUNT('Iteration 1'!H4:H9)</x:f>
        <x:v>6</x:v>
      </x:c>
      <x:c r="F4" s="101" t="n">
        <x:f>IF(E4=0,"",'Iteration 1'!B2)</x:f>
        <x:v>1</x:v>
      </x:c>
      <x:c r="G4" s="103" t="n">
        <x:f>IF(E4=0,"",'Iteration 1'!E2)</x:f>
        <x:v>46230</x:v>
      </x:c>
    </x:row>
    <x:row r="5">
      <x:c r="A5" s="17" t="s">
        <x:v>34</x:v>
      </x:c>
      <x:c r="B5" s="99" t="str">
        <x:f>IF(COUNT('Iteration 2'!E4:E9)=0,"",AVERAGE('Iteration 2'!E4:E9)*100)</x:f>
      </x:c>
      <x:c r="C5" s="99" t="str">
        <x:f>IF(COUNT('Iteration 2'!F4:F9)=0,"",AVERAGE('Iteration 2'!F4:F9)*10)</x:f>
      </x:c>
      <x:c r="D5" s="99" t="str">
        <x:f>IF(COUNT('Iteration 2'!H4:H9)=0,"",AVERAGE('Iteration 2'!H4:H9))</x:f>
      </x:c>
      <x:c r="E5" t="n">
        <x:f>COUNT('Iteration 2'!H4:H9)</x:f>
        <x:v>0</x:v>
      </x:c>
      <x:c r="F5" s="101" t="str">
        <x:f>IF(E5=0,"",'Iteration 2'!B2)</x:f>
      </x:c>
      <x:c r="G5" s="103" t="str">
        <x:f>IF(E5=0,"",'Iteration 2'!E2)</x:f>
      </x:c>
    </x:row>
    <x:row r="6">
      <x:c r="A6" s="17" t="s">
        <x:v>35</x:v>
      </x:c>
      <x:c r="B6" s="99" t="str">
        <x:f>IF(COUNT('Iteration 3'!E4:E9)=0,"",AVERAGE('Iteration 3'!E4:E9)*100)</x:f>
      </x:c>
      <x:c r="C6" s="99" t="str">
        <x:f>IF(COUNT('Iteration 3'!F4:F9)=0,"",AVERAGE('Iteration 3'!F4:F9)*10)</x:f>
      </x:c>
      <x:c r="D6" s="99" t="str">
        <x:f>IF(COUNT('Iteration 3'!H4:H9)=0,"",AVERAGE('Iteration 3'!H4:H9))</x:f>
      </x:c>
      <x:c r="E6" t="n">
        <x:f>COUNT('Iteration 3'!H4:H9)</x:f>
        <x:v>0</x:v>
      </x:c>
      <x:c r="F6" s="101" t="str">
        <x:f>IF(E6=0,"",'Iteration 3'!B2)</x:f>
      </x:c>
      <x:c r="G6" s="103" t="str">
        <x:f>IF(E6=0,"",'Iteration 3'!E2)</x:f>
      </x:c>
    </x:row>
    <x:row r="7">
      <x:c r="A7" s="17" t="s">
        <x:v>36</x:v>
      </x:c>
      <x:c r="B7" s="99" t="str">
        <x:f>IF(COUNT('Iteration 4'!E4:E9)=0,"",AVERAGE('Iteration 4'!E4:E9)*100)</x:f>
      </x:c>
      <x:c r="C7" s="99" t="str">
        <x:f>IF(COUNT('Iteration 4'!F4:F9)=0,"",AVERAGE('Iteration 4'!F4:F9)*10)</x:f>
      </x:c>
      <x:c r="D7" s="99" t="str">
        <x:f>IF(COUNT('Iteration 4'!H4:H9)=0,"",AVERAGE('Iteration 4'!H4:H9))</x:f>
      </x:c>
      <x:c r="E7" t="n">
        <x:f>COUNT('Iteration 4'!H4:H9)</x:f>
        <x:v>0</x:v>
      </x:c>
      <x:c r="F7" s="101" t="str">
        <x:f>IF(E7=0,"",'Iteration 4'!B2)</x:f>
      </x:c>
      <x:c r="G7" s="103" t="str">
        <x:f>IF(E7=0,"",'Iteration 4'!E2)</x:f>
      </x:c>
    </x:row>
    <x:row r="8">
      <x:c r="A8" s="18" t="s">
        <x:v>37</x:v>
      </x:c>
      <x:c r="B8" s="99" t="str">
        <x:f>IF(COUNT('Iteration 5'!E4:E9)=0,"",AVERAGE('Iteration 5'!E4:E9)*100)</x:f>
      </x:c>
      <x:c r="C8" s="99" t="str">
        <x:f>IF(COUNT('Iteration 5'!F4:F9)=0,"",AVERAGE('Iteration 5'!F4:F9)*10)</x:f>
      </x:c>
      <x:c r="D8" s="99" t="str">
        <x:f>IF(COUNT('Iteration 5'!H4:H9)=0,"",AVERAGE('Iteration 5'!H4:H9))</x:f>
      </x:c>
      <x:c r="E8" s="19" t="n">
        <x:f>COUNT('Iteration 5'!H4:H9)</x:f>
        <x:v>0</x:v>
      </x:c>
      <x:c r="F8" s="101" t="str">
        <x:f>IF(E8=0,"",'Iteration 5'!B2)</x:f>
      </x:c>
      <x:c r="G8" s="103" t="str">
        <x:f>IF(E8=0,"",'Iteration 5'!E2)</x:f>
      </x:c>
    </x:row>
    <x:row r="10" ht="15">
      <x:c r="A10" s="63" t="s">
        <x:v>38</x:v>
      </x:c>
      <x:c r="B10" s="63"/>
      <x:c r="C10" s="63"/>
      <x:c r="D10" s="104" t="n">
        <x:f>IF(COUNT(D4:D8)=0,"",AVERAGE(D4:D8))</x:f>
        <x:v>59.87373737373738</x:v>
      </x:c>
    </x:row>
  </x:sheetData>
  <x:mergeCells>
    <x:mergeCell ref="A1:G1"/>
    <x:mergeCell ref="A10:C10"/>
  </x:mergeCells>
  <x:conditionalFormatting sqref="D4:D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dbbfb81f717b4c00"/>
</x:worksheet>
</file>

<file path=xl/worksheets/sheet3.xml><?xml version="1.0" encoding="utf-8"?>
<x:worksheet xmlns:x="http://schemas.openxmlformats.org/spreadsheetml/2006/main">
  <x:sheetFormatPr defaultRowHeight="14.25"/>
  <x:cols>
    <x:col min="1" max="1" width="34" customWidth="1"/>
    <x:col min="2" max="2" width="18" customWidth="1"/>
    <x:col min="3" max="3" width="17" customWidth="1"/>
    <x:col min="4" max="4" width="24" customWidth="1"/>
    <x:col min="5" max="5" width="17" customWidth="1"/>
    <x:col min="6" max="6" width="20" customWidth="1"/>
    <x:col min="7" max="7" width="50" customWidth="1"/>
    <x:col min="8" max="8" width="18" customWidth="1"/>
  </x:cols>
  <x:sheetData>
    <x:row r="1" ht="27.950000762939453" customHeight="1">
      <x:c r="A1" s="64" t="s">
        <x:v>39</x:v>
      </x:c>
      <x:c r="B1" s="64"/>
      <x:c r="C1" s="64"/>
      <x:c r="D1" s="64"/>
      <x:c r="E1" s="64"/>
      <x:c r="F1" s="64"/>
      <x:c r="G1" s="64"/>
    </x:row>
    <x:row r="2" ht="15">
      <x:c r="A2" s="29" t="s">
        <x:v>23</x:v>
      </x:c>
      <x:c r="B2" s="106">
        <x:v>1</x:v>
      </x:c>
      <x:c r="C2" s="106"/>
      <x:c r="D2" s="29" t="s">
        <x:v>32</x:v>
      </x:c>
      <x:c r="E2" s="108">
        <x:v>46230</x:v>
      </x:c>
      <x:c r="F2" s="29" t="s">
        <x:v>40</x:v>
      </x:c>
      <x:c r="G2" s="65" t="s">
        <x:v>41</x:v>
      </x:c>
      <x:c r="H2" s="65"/>
    </x:row>
    <x:row r="3" ht="33.95000076293945" customHeight="1">
      <x:c r="A3" s="31" t="s">
        <x:v>42</x:v>
      </x:c>
      <x:c r="B3" s="32" t="s">
        <x:v>43</x:v>
      </x:c>
      <x:c r="C3" s="32" t="s">
        <x:v>3</x:v>
      </x:c>
      <x:c r="D3" s="32" t="s">
        <x:v>25</x:v>
      </x:c>
      <x:c r="E3" s="32" t="s">
        <x:v>5</x:v>
      </x:c>
      <x:c r="F3" s="32" t="s">
        <x:v>44</x:v>
      </x:c>
      <x:c r="G3" s="33" t="s">
        <x:v>9</x:v>
      </x:c>
      <x:c r="H3" s="34" t="s">
        <x:v>11</x:v>
      </x:c>
    </x:row>
    <x:row r="4" ht="44.099998474121094" customHeight="1">
      <x:c r="A4" s="20" t="s">
        <x:v>45</x:v>
      </x:c>
      <x:c r="B4">
        <x:v>11</x:v>
      </x:c>
      <x:c r="C4" s="36">
        <x:v>9</x:v>
      </x:c>
      <x:c r="D4" s="45" t="s">
        <x:v>46</x:v>
      </x:c>
      <x:c r="E4" s="42" t="n">
        <x:f t="shared" ref="E4:E9" si="0">IF(C4="","",C4/B4)</x:f>
        <x:v>0.8181818181818182</x:v>
      </x:c>
      <x:c r="F4" s="38">
        <x:v>3</x:v>
      </x:c>
      <x:c r="G4" s="40" t="s">
        <x:v>47</x:v>
      </x:c>
      <x:c r="H4" s="44" t="n">
        <x:f t="shared" ref="H4:H9" si="1">IF(OR(C4="",F4=""),"",0.5*(F4*10)+0.5*(E4*100))</x:f>
        <x:v>55.909090909090914</x:v>
      </x:c>
    </x:row>
    <x:row r="5" ht="44.099998474121094" customHeight="1">
      <x:c r="A5" s="20" t="s">
        <x:v>48</x:v>
      </x:c>
      <x:c r="B5">
        <x:v>10</x:v>
      </x:c>
      <x:c r="C5" s="36">
        <x:v>5</x:v>
      </x:c>
      <x:c r="D5" s="45" t="s">
        <x:v>49</x:v>
      </x:c>
      <x:c r="E5" s="42">
        <x:f t="shared" si="0"/>
        <x:v>0.5</x:v>
      </x:c>
      <x:c r="F5" s="38">
        <x:v>7</x:v>
      </x:c>
      <x:c r="G5" s="40" t="s">
        <x:v>50</x:v>
      </x:c>
      <x:c r="H5" s="44">
        <x:f t="shared" si="1"/>
        <x:v>60</x:v>
      </x:c>
    </x:row>
    <x:row r="6" ht="44.099998474121094" customHeight="1">
      <x:c r="A6" s="20" t="s">
        <x:v>51</x:v>
      </x:c>
      <x:c r="B6">
        <x:v>11</x:v>
      </x:c>
      <x:c r="C6" s="36">
        <x:v>11</x:v>
      </x:c>
      <x:c r="D6" s="45"/>
      <x:c r="E6" s="42">
        <x:f t="shared" si="0"/>
        <x:v>1</x:v>
      </x:c>
      <x:c r="F6" s="38">
        <x:v>6</x:v>
      </x:c>
      <x:c r="G6" s="40" t="s">
        <x:v>52</x:v>
      </x:c>
      <x:c r="H6" s="44">
        <x:f t="shared" si="1"/>
        <x:v>80</x:v>
      </x:c>
    </x:row>
    <x:row r="7" ht="44.099998474121094" customHeight="1">
      <x:c r="A7" s="20" t="s">
        <x:v>53</x:v>
      </x:c>
      <x:c r="B7">
        <x:v>10</x:v>
      </x:c>
      <x:c r="C7" s="36">
        <x:v>6</x:v>
      </x:c>
      <x:c r="D7" s="45" t="s">
        <x:v>54</x:v>
      </x:c>
      <x:c r="E7" s="42">
        <x:f t="shared" si="0"/>
        <x:v>0.6</x:v>
      </x:c>
      <x:c r="F7" s="38">
        <x:v>3</x:v>
      </x:c>
      <x:c r="G7" s="40" t="s">
        <x:v>55</x:v>
      </x:c>
      <x:c r="H7" s="44">
        <x:f t="shared" si="1"/>
        <x:v>45</x:v>
      </x:c>
    </x:row>
    <x:row r="8" ht="44.099998474121094" customHeight="1">
      <x:c r="A8" s="20" t="s">
        <x:v>56</x:v>
      </x:c>
      <x:c r="B8">
        <x:v>12</x:v>
      </x:c>
      <x:c r="C8" s="36">
        <x:v>8</x:v>
      </x:c>
      <x:c r="D8" s="45" t="s">
        <x:v>57</x:v>
      </x:c>
      <x:c r="E8" s="42">
        <x:f t="shared" si="0"/>
        <x:v>0.66666666666666663</x:v>
      </x:c>
      <x:c r="F8" s="38">
        <x:v>3</x:v>
      </x:c>
      <x:c r="G8" s="40" t="s">
        <x:v>58</x:v>
      </x:c>
      <x:c r="H8" s="44">
        <x:f t="shared" si="1"/>
        <x:v>48.333333333333329</x:v>
      </x:c>
    </x:row>
    <x:row r="9" ht="44.099998474121094" customHeight="1">
      <x:c r="A9" s="21" t="s">
        <x:v>59</x:v>
      </x:c>
      <x:c r="B9" s="19">
        <x:v>11</x:v>
      </x:c>
      <x:c r="C9" s="37">
        <x:v>11</x:v>
      </x:c>
      <x:c r="D9" s="46"/>
      <x:c r="E9" s="43">
        <x:f t="shared" si="0"/>
        <x:v>1</x:v>
      </x:c>
      <x:c r="F9" s="39">
        <x:v>4</x:v>
      </x:c>
      <x:c r="G9" s="41" t="s">
        <x:v>60</x:v>
      </x:c>
      <x:c r="H9" s="44">
        <x:f t="shared" si="1"/>
        <x:v>70</x:v>
      </x:c>
    </x:row>
    <x:row r="11" ht="15">
      <x:c r="A11" s="66" t="s">
        <x:v>61</x:v>
      </x:c>
      <x:c r="B11" s="66"/>
      <x:c r="C11" s="66"/>
      <x:c r="D11" s="66"/>
      <x:c r="E11" s="66"/>
      <x:c r="F11" s="66"/>
      <x:c r="G11" s="67" t="str">
        <x:f>IF(COUNT(G4:G9)=0,"",AVERAGE(G4:G9))</x:f>
      </x:c>
      <x:c r="H11" s="35" t="n">
        <x:f>IF(COUNT(H4:H9)=0,"",AVERAGE(H4:H9))</x:f>
        <x:v>59.87373737373738</x:v>
      </x:c>
    </x:row>
  </x:sheetData>
  <x:mergeCells>
    <x:mergeCell ref="A1:G1"/>
    <x:mergeCell ref="B2:C2"/>
    <x:mergeCell ref="G2:H2"/>
    <x:mergeCell ref="A11:G11"/>
  </x:mergeCells>
  <x:conditionalFormatting sqref="C4:C9">
    <x:cfRule type="expression" dxfId="4" priority="2">
      <x:formula>C4&gt;B4</x:formula>
    </x:cfRule>
  </x:conditionalFormatting>
  <x:conditionalFormatting sqref="G4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1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sqref="C4:C9">
      <x:formula1>0</x:formula1>
      <x:formula2>12</x:formula2>
    </x:dataValidation>
    <x:dataValidation sqref="E4:F9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34" customWidth="1"/>
    <x:col min="2" max="2" width="18" customWidth="1"/>
    <x:col min="3" max="3" width="17" customWidth="1"/>
    <x:col min="4" max="4" width="24" customWidth="1"/>
    <x:col min="5" max="5" width="17" customWidth="1"/>
    <x:col min="6" max="6" width="20" customWidth="1"/>
    <x:col min="7" max="7" width="50" customWidth="1"/>
    <x:col min="8" max="8" width="18" customWidth="1"/>
  </x:cols>
  <x:sheetData>
    <x:row r="1" ht="27.950000762939453" customHeight="1">
      <x:c r="A1" s="64" t="s">
        <x:v>62</x:v>
      </x:c>
      <x:c r="B1" s="64"/>
      <x:c r="C1" s="64"/>
      <x:c r="D1" s="64"/>
      <x:c r="E1" s="64"/>
      <x:c r="F1" s="64"/>
      <x:c r="G1" s="64"/>
    </x:row>
    <x:row r="2" ht="15">
      <x:c r="A2" s="29" t="s">
        <x:v>23</x:v>
      </x:c>
      <x:c r="B2" s="106"/>
      <x:c r="C2" s="106"/>
      <x:c r="D2" s="29" t="s">
        <x:v>32</x:v>
      </x:c>
      <x:c r="E2" s="108"/>
      <x:c r="F2" s="29" t="s">
        <x:v>40</x:v>
      </x:c>
      <x:c r="G2" s="65"/>
      <x:c r="H2" s="65"/>
    </x:row>
    <x:row r="3" ht="33.95000076293945" customHeight="1">
      <x:c r="A3" s="31" t="s">
        <x:v>42</x:v>
      </x:c>
      <x:c r="B3" s="32" t="s">
        <x:v>43</x:v>
      </x:c>
      <x:c r="C3" s="32" t="s">
        <x:v>3</x:v>
      </x:c>
      <x:c r="D3" s="32" t="s">
        <x:v>25</x:v>
      </x:c>
      <x:c r="E3" s="32" t="s">
        <x:v>5</x:v>
      </x:c>
      <x:c r="F3" s="32" t="s">
        <x:v>44</x:v>
      </x:c>
      <x:c r="G3" s="33" t="s">
        <x:v>9</x:v>
      </x:c>
      <x:c r="H3" s="34" t="s">
        <x:v>11</x:v>
      </x:c>
    </x:row>
    <x:row r="4" ht="44.099998474121094" customHeight="1">
      <x:c r="A4" s="20" t="s">
        <x:v>45</x:v>
      </x:c>
      <x:c r="B4">
        <x:v>11</x:v>
      </x:c>
      <x:c r="C4" s="36"/>
      <x:c r="D4" s="45"/>
      <x:c r="E4" s="42" t="str">
        <x:f t="shared" ref="E4:E9" si="0">IF(C4="","",C4/B4)</x:f>
      </x:c>
      <x:c r="F4" s="38"/>
      <x:c r="G4" s="40"/>
      <x:c r="H4" s="44" t="str">
        <x:f t="shared" ref="H4:H9" si="1">IF(OR(C4="",F4=""),"",0.5*(F4*10)+0.5*(E4*100))</x:f>
      </x:c>
    </x:row>
    <x:row r="5" ht="44.099998474121094" customHeight="1">
      <x:c r="A5" s="20" t="s">
        <x:v>48</x:v>
      </x:c>
      <x:c r="B5">
        <x:v>10</x:v>
      </x:c>
      <x:c r="C5" s="36"/>
      <x:c r="D5" s="45"/>
      <x:c r="E5" s="42" t="str">
        <x:f t="shared" si="0"/>
      </x:c>
      <x:c r="F5" s="38"/>
      <x:c r="G5" s="40"/>
      <x:c r="H5" s="44" t="str">
        <x:f t="shared" si="1"/>
      </x:c>
    </x:row>
    <x:row r="6" ht="44.099998474121094" customHeight="1">
      <x:c r="A6" s="20" t="s">
        <x:v>51</x:v>
      </x:c>
      <x:c r="B6">
        <x:v>11</x:v>
      </x:c>
      <x:c r="C6" s="36"/>
      <x:c r="D6" s="45"/>
      <x:c r="E6" s="42" t="str">
        <x:f t="shared" si="0"/>
      </x:c>
      <x:c r="F6" s="38"/>
      <x:c r="G6" s="40"/>
      <x:c r="H6" s="44" t="str">
        <x:f t="shared" si="1"/>
      </x:c>
    </x:row>
    <x:row r="7" ht="44.099998474121094" customHeight="1">
      <x:c r="A7" s="20" t="s">
        <x:v>53</x:v>
      </x:c>
      <x:c r="B7">
        <x:v>10</x:v>
      </x:c>
      <x:c r="C7" s="36"/>
      <x:c r="D7" s="45"/>
      <x:c r="E7" s="42" t="str">
        <x:f t="shared" si="0"/>
      </x:c>
      <x:c r="F7" s="38"/>
      <x:c r="G7" s="40"/>
      <x:c r="H7" s="44" t="str">
        <x:f t="shared" si="1"/>
      </x:c>
    </x:row>
    <x:row r="8" ht="44.099998474121094" customHeight="1">
      <x:c r="A8" s="20" t="s">
        <x:v>56</x:v>
      </x:c>
      <x:c r="B8">
        <x:v>12</x:v>
      </x:c>
      <x:c r="C8" s="36"/>
      <x:c r="D8" s="45"/>
      <x:c r="E8" s="42" t="str">
        <x:f t="shared" si="0"/>
      </x:c>
      <x:c r="F8" s="38"/>
      <x:c r="G8" s="40"/>
      <x:c r="H8" s="44" t="str">
        <x:f t="shared" si="1"/>
      </x:c>
    </x:row>
    <x:row r="9" ht="44.099998474121094" customHeight="1">
      <x:c r="A9" s="21" t="s">
        <x:v>59</x:v>
      </x:c>
      <x:c r="B9" s="19">
        <x:v>11</x:v>
      </x:c>
      <x:c r="C9" s="37"/>
      <x:c r="D9" s="46"/>
      <x:c r="E9" s="43" t="str">
        <x:f t="shared" si="0"/>
      </x:c>
      <x:c r="F9" s="39"/>
      <x:c r="G9" s="41"/>
      <x:c r="H9" s="44" t="str">
        <x:f t="shared" si="1"/>
      </x:c>
    </x:row>
    <x:row r="11" ht="15">
      <x:c r="A11" s="66" t="s">
        <x:v>61</x:v>
      </x:c>
      <x:c r="B11" s="66"/>
      <x:c r="C11" s="66"/>
      <x:c r="D11" s="66"/>
      <x:c r="E11" s="66"/>
      <x:c r="F11" s="66"/>
      <x:c r="G11" s="67" t="str">
        <x:f>IF(COUNT(G4:G9)=0,"",AVERAGE(G4:G9))</x:f>
      </x:c>
      <x:c r="H11" s="35" t="str">
        <x:f>IF(COUNT(H4:H9)=0,"",AVERAGE(H4:H9))</x:f>
      </x:c>
    </x:row>
  </x:sheetData>
  <x:mergeCells>
    <x:mergeCell ref="A1:G1"/>
    <x:mergeCell ref="B2:C2"/>
    <x:mergeCell ref="G2:H2"/>
    <x:mergeCell ref="A11:G11"/>
  </x:mergeCells>
  <x:conditionalFormatting sqref="C4:C9">
    <x:cfRule type="expression" dxfId="3" priority="2">
      <x:formula>C4&gt;B4</x:formula>
    </x:cfRule>
  </x:conditionalFormatting>
  <x:conditionalFormatting sqref="G4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1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sqref="C4:C9">
      <x:formula1>0</x:formula1>
      <x:formula2>12</x:formula2>
    </x:dataValidation>
    <x:dataValidation sqref="E4:F9">
      <x:formula1>1</x:formula1>
      <x:formula2>10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34" customWidth="1"/>
    <x:col min="2" max="2" width="18" customWidth="1"/>
    <x:col min="3" max="3" width="17" customWidth="1"/>
    <x:col min="4" max="4" width="24" customWidth="1"/>
    <x:col min="5" max="5" width="17" customWidth="1"/>
    <x:col min="6" max="6" width="20" customWidth="1"/>
    <x:col min="7" max="7" width="50" customWidth="1"/>
    <x:col min="8" max="8" width="18" customWidth="1"/>
  </x:cols>
  <x:sheetData>
    <x:row r="1" ht="27.950000762939453" customHeight="1">
      <x:c r="A1" s="64" t="s">
        <x:v>63</x:v>
      </x:c>
      <x:c r="B1" s="64"/>
      <x:c r="C1" s="64"/>
      <x:c r="D1" s="64"/>
      <x:c r="E1" s="64"/>
      <x:c r="F1" s="64"/>
      <x:c r="G1" s="64"/>
    </x:row>
    <x:row r="2" ht="15">
      <x:c r="A2" s="29" t="s">
        <x:v>23</x:v>
      </x:c>
      <x:c r="B2" s="106"/>
      <x:c r="C2" s="106"/>
      <x:c r="D2" s="29" t="s">
        <x:v>32</x:v>
      </x:c>
      <x:c r="E2" s="108"/>
      <x:c r="F2" s="29" t="s">
        <x:v>40</x:v>
      </x:c>
      <x:c r="G2" s="65"/>
      <x:c r="H2" s="65"/>
    </x:row>
    <x:row r="3" ht="33.95000076293945" customHeight="1">
      <x:c r="A3" s="31" t="s">
        <x:v>42</x:v>
      </x:c>
      <x:c r="B3" s="32" t="s">
        <x:v>43</x:v>
      </x:c>
      <x:c r="C3" s="32" t="s">
        <x:v>3</x:v>
      </x:c>
      <x:c r="D3" s="32" t="s">
        <x:v>25</x:v>
      </x:c>
      <x:c r="E3" s="32" t="s">
        <x:v>5</x:v>
      </x:c>
      <x:c r="F3" s="32" t="s">
        <x:v>44</x:v>
      </x:c>
      <x:c r="G3" s="33" t="s">
        <x:v>9</x:v>
      </x:c>
      <x:c r="H3" s="34" t="s">
        <x:v>11</x:v>
      </x:c>
    </x:row>
    <x:row r="4" ht="44.099998474121094" customHeight="1">
      <x:c r="A4" s="20" t="s">
        <x:v>45</x:v>
      </x:c>
      <x:c r="B4">
        <x:v>11</x:v>
      </x:c>
      <x:c r="C4" s="36"/>
      <x:c r="D4" s="45"/>
      <x:c r="E4" s="42" t="str">
        <x:f t="shared" ref="E4:E9" si="0">IF(C4="","",C4/B4)</x:f>
      </x:c>
      <x:c r="F4" s="38"/>
      <x:c r="G4" s="40"/>
      <x:c r="H4" s="44" t="str">
        <x:f t="shared" ref="H4:H9" si="1">IF(OR(C4="",F4=""),"",0.5*(F4*10)+0.5*(E4*100))</x:f>
      </x:c>
    </x:row>
    <x:row r="5" ht="44.099998474121094" customHeight="1">
      <x:c r="A5" s="20" t="s">
        <x:v>48</x:v>
      </x:c>
      <x:c r="B5">
        <x:v>10</x:v>
      </x:c>
      <x:c r="C5" s="36"/>
      <x:c r="D5" s="45"/>
      <x:c r="E5" s="42" t="str">
        <x:f t="shared" si="0"/>
      </x:c>
      <x:c r="F5" s="38"/>
      <x:c r="G5" s="40"/>
      <x:c r="H5" s="44" t="str">
        <x:f t="shared" si="1"/>
      </x:c>
    </x:row>
    <x:row r="6" ht="44.099998474121094" customHeight="1">
      <x:c r="A6" s="20" t="s">
        <x:v>51</x:v>
      </x:c>
      <x:c r="B6">
        <x:v>11</x:v>
      </x:c>
      <x:c r="C6" s="36"/>
      <x:c r="D6" s="45"/>
      <x:c r="E6" s="42" t="str">
        <x:f t="shared" si="0"/>
      </x:c>
      <x:c r="F6" s="38"/>
      <x:c r="G6" s="40"/>
      <x:c r="H6" s="44" t="str">
        <x:f t="shared" si="1"/>
      </x:c>
    </x:row>
    <x:row r="7" ht="44.099998474121094" customHeight="1">
      <x:c r="A7" s="20" t="s">
        <x:v>53</x:v>
      </x:c>
      <x:c r="B7">
        <x:v>10</x:v>
      </x:c>
      <x:c r="C7" s="36"/>
      <x:c r="D7" s="45"/>
      <x:c r="E7" s="42" t="str">
        <x:f t="shared" si="0"/>
      </x:c>
      <x:c r="F7" s="38"/>
      <x:c r="G7" s="40"/>
      <x:c r="H7" s="44" t="str">
        <x:f t="shared" si="1"/>
      </x:c>
    </x:row>
    <x:row r="8" ht="44.099998474121094" customHeight="1">
      <x:c r="A8" s="20" t="s">
        <x:v>56</x:v>
      </x:c>
      <x:c r="B8">
        <x:v>12</x:v>
      </x:c>
      <x:c r="C8" s="36"/>
      <x:c r="D8" s="45"/>
      <x:c r="E8" s="42" t="str">
        <x:f t="shared" si="0"/>
      </x:c>
      <x:c r="F8" s="38"/>
      <x:c r="G8" s="40"/>
      <x:c r="H8" s="44" t="str">
        <x:f t="shared" si="1"/>
      </x:c>
    </x:row>
    <x:row r="9" ht="44.099998474121094" customHeight="1">
      <x:c r="A9" s="21" t="s">
        <x:v>59</x:v>
      </x:c>
      <x:c r="B9" s="19">
        <x:v>11</x:v>
      </x:c>
      <x:c r="C9" s="37"/>
      <x:c r="D9" s="46"/>
      <x:c r="E9" s="43" t="str">
        <x:f t="shared" si="0"/>
      </x:c>
      <x:c r="F9" s="39"/>
      <x:c r="G9" s="41"/>
      <x:c r="H9" s="44" t="str">
        <x:f t="shared" si="1"/>
      </x:c>
    </x:row>
    <x:row r="11" ht="15">
      <x:c r="A11" s="66" t="s">
        <x:v>61</x:v>
      </x:c>
      <x:c r="B11" s="66"/>
      <x:c r="C11" s="66"/>
      <x:c r="D11" s="66"/>
      <x:c r="E11" s="66"/>
      <x:c r="F11" s="66"/>
      <x:c r="G11" s="67" t="str">
        <x:f>IF(COUNT(G4:G9)=0,"",AVERAGE(G4:G9))</x:f>
      </x:c>
      <x:c r="H11" s="35" t="str">
        <x:f>IF(COUNT(H4:H9)=0,"",AVERAGE(H4:H9))</x:f>
      </x:c>
    </x:row>
  </x:sheetData>
  <x:mergeCells>
    <x:mergeCell ref="A1:G1"/>
    <x:mergeCell ref="B2:C2"/>
    <x:mergeCell ref="G2:H2"/>
    <x:mergeCell ref="A11:G11"/>
  </x:mergeCells>
  <x:conditionalFormatting sqref="C4:C9">
    <x:cfRule type="expression" dxfId="2" priority="2">
      <x:formula>C4&gt;B4</x:formula>
    </x:cfRule>
  </x:conditionalFormatting>
  <x:conditionalFormatting sqref="G4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1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sqref="C4:C9">
      <x:formula1>0</x:formula1>
      <x:formula2>12</x:formula2>
    </x:dataValidation>
    <x:dataValidation sqref="E4:F9">
      <x:formula1>1</x:formula1>
      <x:formula2>10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34" customWidth="1"/>
    <x:col min="2" max="2" width="18" customWidth="1"/>
    <x:col min="3" max="3" width="17" customWidth="1"/>
    <x:col min="4" max="4" width="24" customWidth="1"/>
    <x:col min="5" max="5" width="17" customWidth="1"/>
    <x:col min="6" max="6" width="20" customWidth="1"/>
    <x:col min="7" max="7" width="50" customWidth="1"/>
    <x:col min="8" max="8" width="18" customWidth="1"/>
  </x:cols>
  <x:sheetData>
    <x:row r="1" ht="27.950000762939453" customHeight="1">
      <x:c r="A1" s="64" t="s">
        <x:v>64</x:v>
      </x:c>
      <x:c r="B1" s="64"/>
      <x:c r="C1" s="64"/>
      <x:c r="D1" s="64"/>
      <x:c r="E1" s="64"/>
      <x:c r="F1" s="64"/>
      <x:c r="G1" s="64"/>
    </x:row>
    <x:row r="2" ht="15">
      <x:c r="A2" s="29" t="s">
        <x:v>23</x:v>
      </x:c>
      <x:c r="B2" s="106"/>
      <x:c r="C2" s="106"/>
      <x:c r="D2" s="29" t="s">
        <x:v>32</x:v>
      </x:c>
      <x:c r="E2" s="108"/>
      <x:c r="F2" s="29" t="s">
        <x:v>40</x:v>
      </x:c>
      <x:c r="G2" s="65"/>
      <x:c r="H2" s="65"/>
    </x:row>
    <x:row r="3" ht="33.95000076293945" customHeight="1">
      <x:c r="A3" s="31" t="s">
        <x:v>42</x:v>
      </x:c>
      <x:c r="B3" s="32" t="s">
        <x:v>43</x:v>
      </x:c>
      <x:c r="C3" s="32" t="s">
        <x:v>3</x:v>
      </x:c>
      <x:c r="D3" s="32" t="s">
        <x:v>25</x:v>
      </x:c>
      <x:c r="E3" s="32" t="s">
        <x:v>5</x:v>
      </x:c>
      <x:c r="F3" s="32" t="s">
        <x:v>44</x:v>
      </x:c>
      <x:c r="G3" s="33" t="s">
        <x:v>9</x:v>
      </x:c>
      <x:c r="H3" s="34" t="s">
        <x:v>11</x:v>
      </x:c>
    </x:row>
    <x:row r="4" ht="44.099998474121094" customHeight="1">
      <x:c r="A4" s="20" t="s">
        <x:v>45</x:v>
      </x:c>
      <x:c r="B4">
        <x:v>11</x:v>
      </x:c>
      <x:c r="C4" s="36"/>
      <x:c r="D4" s="45"/>
      <x:c r="E4" s="42" t="str">
        <x:f t="shared" ref="E4:E9" si="0">IF(C4="","",C4/B4)</x:f>
      </x:c>
      <x:c r="F4" s="38"/>
      <x:c r="G4" s="40"/>
      <x:c r="H4" s="44" t="str">
        <x:f t="shared" ref="H4:H9" si="1">IF(OR(C4="",F4=""),"",0.5*(F4*10)+0.5*(E4*100))</x:f>
      </x:c>
    </x:row>
    <x:row r="5" ht="44.099998474121094" customHeight="1">
      <x:c r="A5" s="20" t="s">
        <x:v>48</x:v>
      </x:c>
      <x:c r="B5">
        <x:v>10</x:v>
      </x:c>
      <x:c r="C5" s="36"/>
      <x:c r="D5" s="45"/>
      <x:c r="E5" s="42" t="str">
        <x:f t="shared" si="0"/>
      </x:c>
      <x:c r="F5" s="38"/>
      <x:c r="G5" s="40"/>
      <x:c r="H5" s="44" t="str">
        <x:f t="shared" si="1"/>
      </x:c>
    </x:row>
    <x:row r="6" ht="44.099998474121094" customHeight="1">
      <x:c r="A6" s="20" t="s">
        <x:v>51</x:v>
      </x:c>
      <x:c r="B6">
        <x:v>11</x:v>
      </x:c>
      <x:c r="C6" s="36"/>
      <x:c r="D6" s="45"/>
      <x:c r="E6" s="42" t="str">
        <x:f t="shared" si="0"/>
      </x:c>
      <x:c r="F6" s="38"/>
      <x:c r="G6" s="40"/>
      <x:c r="H6" s="44" t="str">
        <x:f t="shared" si="1"/>
      </x:c>
    </x:row>
    <x:row r="7" ht="44.099998474121094" customHeight="1">
      <x:c r="A7" s="20" t="s">
        <x:v>53</x:v>
      </x:c>
      <x:c r="B7">
        <x:v>10</x:v>
      </x:c>
      <x:c r="C7" s="36"/>
      <x:c r="D7" s="45"/>
      <x:c r="E7" s="42" t="str">
        <x:f t="shared" si="0"/>
      </x:c>
      <x:c r="F7" s="38"/>
      <x:c r="G7" s="40"/>
      <x:c r="H7" s="44" t="str">
        <x:f t="shared" si="1"/>
      </x:c>
    </x:row>
    <x:row r="8" ht="44.099998474121094" customHeight="1">
      <x:c r="A8" s="20" t="s">
        <x:v>56</x:v>
      </x:c>
      <x:c r="B8">
        <x:v>12</x:v>
      </x:c>
      <x:c r="C8" s="36"/>
      <x:c r="D8" s="45"/>
      <x:c r="E8" s="42" t="str">
        <x:f t="shared" si="0"/>
      </x:c>
      <x:c r="F8" s="38"/>
      <x:c r="G8" s="40"/>
      <x:c r="H8" s="44" t="str">
        <x:f t="shared" si="1"/>
      </x:c>
    </x:row>
    <x:row r="9" ht="44.099998474121094" customHeight="1">
      <x:c r="A9" s="21" t="s">
        <x:v>59</x:v>
      </x:c>
      <x:c r="B9" s="19">
        <x:v>11</x:v>
      </x:c>
      <x:c r="C9" s="37"/>
      <x:c r="D9" s="46"/>
      <x:c r="E9" s="43" t="str">
        <x:f t="shared" si="0"/>
      </x:c>
      <x:c r="F9" s="39"/>
      <x:c r="G9" s="41"/>
      <x:c r="H9" s="44" t="str">
        <x:f t="shared" si="1"/>
      </x:c>
    </x:row>
    <x:row r="11" ht="15">
      <x:c r="A11" s="66" t="s">
        <x:v>61</x:v>
      </x:c>
      <x:c r="B11" s="66"/>
      <x:c r="C11" s="66"/>
      <x:c r="D11" s="66"/>
      <x:c r="E11" s="66"/>
      <x:c r="F11" s="66"/>
      <x:c r="G11" s="67" t="str">
        <x:f>IF(COUNT(G4:G9)=0,"",AVERAGE(G4:G9))</x:f>
      </x:c>
      <x:c r="H11" s="35" t="str">
        <x:f>IF(COUNT(H4:H9)=0,"",AVERAGE(H4:H9))</x:f>
      </x:c>
    </x:row>
  </x:sheetData>
  <x:mergeCells>
    <x:mergeCell ref="A1:G1"/>
    <x:mergeCell ref="B2:C2"/>
    <x:mergeCell ref="G2:H2"/>
    <x:mergeCell ref="A11:G11"/>
  </x:mergeCells>
  <x:conditionalFormatting sqref="C4:C9">
    <x:cfRule type="expression" dxfId="1" priority="2">
      <x:formula>C4&gt;B4</x:formula>
    </x:cfRule>
  </x:conditionalFormatting>
  <x:conditionalFormatting sqref="G4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1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sqref="C4:C9">
      <x:formula1>0</x:formula1>
      <x:formula2>12</x:formula2>
    </x:dataValidation>
    <x:dataValidation sqref="E4:F9">
      <x:formula1>1</x:formula1>
      <x:formula2>10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34" customWidth="1"/>
    <x:col min="2" max="2" width="18" customWidth="1"/>
    <x:col min="3" max="3" width="17" customWidth="1"/>
    <x:col min="4" max="4" width="24" customWidth="1"/>
    <x:col min="5" max="5" width="17" customWidth="1"/>
    <x:col min="6" max="6" width="20" customWidth="1"/>
    <x:col min="7" max="7" width="50" customWidth="1"/>
    <x:col min="8" max="8" width="18" customWidth="1"/>
  </x:cols>
  <x:sheetData>
    <x:row r="1" ht="27.950000762939453" customHeight="1">
      <x:c r="A1" s="64" t="s">
        <x:v>65</x:v>
      </x:c>
      <x:c r="B1" s="64"/>
      <x:c r="C1" s="64"/>
      <x:c r="D1" s="64"/>
      <x:c r="E1" s="64"/>
      <x:c r="F1" s="64"/>
      <x:c r="G1" s="64"/>
    </x:row>
    <x:row r="2" ht="15">
      <x:c r="A2" s="29" t="s">
        <x:v>23</x:v>
      </x:c>
      <x:c r="B2" s="106"/>
      <x:c r="C2" s="106"/>
      <x:c r="D2" s="29" t="s">
        <x:v>32</x:v>
      </x:c>
      <x:c r="E2" s="108"/>
      <x:c r="F2" s="29" t="s">
        <x:v>40</x:v>
      </x:c>
      <x:c r="G2" s="65"/>
      <x:c r="H2" s="65"/>
    </x:row>
    <x:row r="3" ht="33.95000076293945" customHeight="1">
      <x:c r="A3" s="31" t="s">
        <x:v>42</x:v>
      </x:c>
      <x:c r="B3" s="32" t="s">
        <x:v>43</x:v>
      </x:c>
      <x:c r="C3" s="32" t="s">
        <x:v>3</x:v>
      </x:c>
      <x:c r="D3" s="32" t="s">
        <x:v>25</x:v>
      </x:c>
      <x:c r="E3" s="32" t="s">
        <x:v>5</x:v>
      </x:c>
      <x:c r="F3" s="32" t="s">
        <x:v>44</x:v>
      </x:c>
      <x:c r="G3" s="33" t="s">
        <x:v>9</x:v>
      </x:c>
      <x:c r="H3" s="34" t="s">
        <x:v>11</x:v>
      </x:c>
    </x:row>
    <x:row r="4" ht="44.099998474121094" customHeight="1">
      <x:c r="A4" s="20" t="s">
        <x:v>45</x:v>
      </x:c>
      <x:c r="B4">
        <x:v>11</x:v>
      </x:c>
      <x:c r="C4" s="36"/>
      <x:c r="D4" s="45"/>
      <x:c r="E4" s="42" t="str">
        <x:f t="shared" ref="E4:E9" si="0">IF(C4="","",C4/B4)</x:f>
      </x:c>
      <x:c r="F4" s="38"/>
      <x:c r="G4" s="40"/>
      <x:c r="H4" s="44" t="str">
        <x:f t="shared" ref="H4:H9" si="1">IF(OR(C4="",F4=""),"",0.5*(F4*10)+0.5*(E4*100))</x:f>
      </x:c>
    </x:row>
    <x:row r="5" ht="44.099998474121094" customHeight="1">
      <x:c r="A5" s="20" t="s">
        <x:v>48</x:v>
      </x:c>
      <x:c r="B5">
        <x:v>10</x:v>
      </x:c>
      <x:c r="C5" s="36"/>
      <x:c r="D5" s="45"/>
      <x:c r="E5" s="42" t="str">
        <x:f t="shared" si="0"/>
      </x:c>
      <x:c r="F5" s="38"/>
      <x:c r="G5" s="40"/>
      <x:c r="H5" s="44" t="str">
        <x:f t="shared" si="1"/>
      </x:c>
    </x:row>
    <x:row r="6" ht="44.099998474121094" customHeight="1">
      <x:c r="A6" s="20" t="s">
        <x:v>51</x:v>
      </x:c>
      <x:c r="B6">
        <x:v>11</x:v>
      </x:c>
      <x:c r="C6" s="36"/>
      <x:c r="D6" s="45"/>
      <x:c r="E6" s="42" t="str">
        <x:f t="shared" si="0"/>
      </x:c>
      <x:c r="F6" s="38"/>
      <x:c r="G6" s="40"/>
      <x:c r="H6" s="44" t="str">
        <x:f t="shared" si="1"/>
      </x:c>
    </x:row>
    <x:row r="7" ht="44.099998474121094" customHeight="1">
      <x:c r="A7" s="20" t="s">
        <x:v>53</x:v>
      </x:c>
      <x:c r="B7">
        <x:v>10</x:v>
      </x:c>
      <x:c r="C7" s="36"/>
      <x:c r="D7" s="45"/>
      <x:c r="E7" s="42" t="str">
        <x:f t="shared" si="0"/>
      </x:c>
      <x:c r="F7" s="38"/>
      <x:c r="G7" s="40"/>
      <x:c r="H7" s="44" t="str">
        <x:f t="shared" si="1"/>
      </x:c>
    </x:row>
    <x:row r="8" ht="44.099998474121094" customHeight="1">
      <x:c r="A8" s="20" t="s">
        <x:v>56</x:v>
      </x:c>
      <x:c r="B8">
        <x:v>12</x:v>
      </x:c>
      <x:c r="C8" s="36"/>
      <x:c r="D8" s="45"/>
      <x:c r="E8" s="42" t="str">
        <x:f t="shared" si="0"/>
      </x:c>
      <x:c r="F8" s="38"/>
      <x:c r="G8" s="40"/>
      <x:c r="H8" s="44" t="str">
        <x:f t="shared" si="1"/>
      </x:c>
    </x:row>
    <x:row r="9" ht="44.099998474121094" customHeight="1">
      <x:c r="A9" s="21" t="s">
        <x:v>59</x:v>
      </x:c>
      <x:c r="B9" s="19">
        <x:v>11</x:v>
      </x:c>
      <x:c r="C9" s="37"/>
      <x:c r="D9" s="46"/>
      <x:c r="E9" s="43" t="str">
        <x:f t="shared" si="0"/>
      </x:c>
      <x:c r="F9" s="39"/>
      <x:c r="G9" s="41"/>
      <x:c r="H9" s="44" t="str">
        <x:f t="shared" si="1"/>
      </x:c>
    </x:row>
    <x:row r="11" ht="15">
      <x:c r="A11" s="66" t="s">
        <x:v>61</x:v>
      </x:c>
      <x:c r="B11" s="66"/>
      <x:c r="C11" s="66"/>
      <x:c r="D11" s="66"/>
      <x:c r="E11" s="66"/>
      <x:c r="F11" s="66"/>
      <x:c r="G11" s="67" t="str">
        <x:f>IF(COUNT(G4:G9)=0,"",AVERAGE(G4:G9))</x:f>
      </x:c>
      <x:c r="H11" s="35" t="str">
        <x:f>IF(COUNT(H4:H9)=0,"",AVERAGE(H4:H9))</x:f>
      </x:c>
    </x:row>
  </x:sheetData>
  <x:mergeCells>
    <x:mergeCell ref="A1:G1"/>
    <x:mergeCell ref="B2:C2"/>
    <x:mergeCell ref="G2:H2"/>
    <x:mergeCell ref="A11:G11"/>
  </x:mergeCells>
  <x:conditionalFormatting sqref="C4:C9">
    <x:cfRule type="expression" dxfId="0" priority="2">
      <x:formula>C4&gt;B4</x:formula>
    </x:cfRule>
  </x:conditionalFormatting>
  <x:conditionalFormatting sqref="G4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4:H1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sqref="C4:C9">
      <x:formula1>0</x:formula1>
      <x:formula2>12</x:formula2>
    </x:dataValidation>
    <x:dataValidation sqref="E4:F9">
      <x:formula1>1</x:formula1>
      <x:formula2>10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34" customWidth="1"/>
    <x:col min="2" max="6" width="18" customWidth="1"/>
    <x:col min="7" max="7" width="48" customWidth="1"/>
    <x:col min="8" max="8" width="18" customWidth="1"/>
  </x:cols>
  <x:sheetData>
    <x:row r="1" ht="30" customHeight="1">
      <x:c r="A1" s="68" t="s">
        <x:v>66</x:v>
      </x:c>
      <x:c r="B1" s="68"/>
      <x:c r="C1" s="68"/>
      <x:c r="D1" s="68"/>
      <x:c r="E1" s="68"/>
      <x:c r="F1" s="68"/>
      <x:c r="G1" s="68"/>
      <x:c r="H1" s="68"/>
    </x:row>
    <x:row r="3" ht="15">
      <x:c r="A3" s="28" t="s">
        <x:v>67</x:v>
      </x:c>
      <x:c r="B3" s="50" t="s">
        <x:v>33</x:v>
      </x:c>
    </x:row>
    <x:row r="5" ht="15">
      <x:c r="A5" s="51" t="s">
        <x:v>1</x:v>
      </x:c>
      <x:c r="B5" s="51" t="s">
        <x:v>68</x:v>
      </x:c>
    </x:row>
    <x:row r="6">
      <x:c r="A6" t="s">
        <x:v>23</x:v>
      </x:c>
      <x:c r="B6" t="e">
        <x:f>INDIRECT("'"&amp;$B$3&amp;"'!B2")</x:f>
      </x:c>
    </x:row>
    <x:row r="7">
      <x:c r="A7" t="s">
        <x:v>32</x:v>
      </x:c>
      <x:c r="B7" s="49" t="e">
        <x:f>INDIRECT("'"&amp;$B$3&amp;"'!E2")</x:f>
      </x:c>
    </x:row>
    <x:row r="8">
      <x:c r="A8" t="s">
        <x:v>69</x:v>
      </x:c>
      <x:c r="B8" s="24" t="e">
        <x:f>INDIRECT("'"&amp;$B$3&amp;"'!H11")</x:f>
      </x:c>
    </x:row>
    <x:row r="10" ht="30">
      <x:c r="A10" s="52" t="s">
        <x:v>42</x:v>
      </x:c>
      <x:c r="B10" s="53" t="s">
        <x:v>70</x:v>
      </x:c>
      <x:c r="C10" s="53" t="s">
        <x:v>71</x:v>
      </x:c>
      <x:c r="D10" s="53" t="s">
        <x:v>72</x:v>
      </x:c>
      <x:c r="E10" s="53" t="s">
        <x:v>5</x:v>
      </x:c>
      <x:c r="F10" s="53" t="s">
        <x:v>73</x:v>
      </x:c>
      <x:c r="G10" s="53" t="s">
        <x:v>9</x:v>
      </x:c>
      <x:c r="H10" s="54" t="s">
        <x:v>11</x:v>
      </x:c>
    </x:row>
    <x:row r="11" ht="42" customHeight="1">
      <x:c r="A11" s="55" t="e">
        <x:f>INDIRECT("'"&amp;$B$3&amp;"'!A4")</x:f>
      </x:c>
      <x:c r="B11" t="e">
        <x:f>INDIRECT("'"&amp;$B$3&amp;"'!B4")</x:f>
      </x:c>
      <x:c r="C11" t="e">
        <x:f>INDIRECT("'"&amp;$B$3&amp;"'!C4")</x:f>
      </x:c>
      <x:c r="D11" t="e">
        <x:f>INDIRECT("'"&amp;$B$3&amp;"'!D4")</x:f>
      </x:c>
      <x:c r="E11" s="23" t="e">
        <x:f>INDIRECT("'"&amp;$B$3&amp;"'!E4")</x:f>
      </x:c>
      <x:c r="F11" t="e">
        <x:f>INDIRECT("'"&amp;$B$3&amp;"'!F4")</x:f>
      </x:c>
      <x:c r="G11" s="27" t="e">
        <x:f>INDIRECT("'"&amp;$B$3&amp;"'!G4")</x:f>
      </x:c>
      <x:c r="H11" s="56" t="e">
        <x:f>INDIRECT("'"&amp;$B$3&amp;"'!H4")</x:f>
      </x:c>
    </x:row>
    <x:row r="12" ht="42" customHeight="1">
      <x:c r="A12" s="55" t="e">
        <x:f>INDIRECT("'"&amp;$B$3&amp;"'!A5")</x:f>
      </x:c>
      <x:c r="B12" t="e">
        <x:f>INDIRECT("'"&amp;$B$3&amp;"'!B5")</x:f>
      </x:c>
      <x:c r="C12" t="e">
        <x:f>INDIRECT("'"&amp;$B$3&amp;"'!C5")</x:f>
      </x:c>
      <x:c r="D12" t="e">
        <x:f>INDIRECT("'"&amp;$B$3&amp;"'!D5")</x:f>
      </x:c>
      <x:c r="E12" s="23" t="e">
        <x:f>INDIRECT("'"&amp;$B$3&amp;"'!E5")</x:f>
      </x:c>
      <x:c r="F12" t="e">
        <x:f>INDIRECT("'"&amp;$B$3&amp;"'!F5")</x:f>
      </x:c>
      <x:c r="G12" s="27" t="e">
        <x:f>INDIRECT("'"&amp;$B$3&amp;"'!G5")</x:f>
      </x:c>
      <x:c r="H12" s="56" t="e">
        <x:f>INDIRECT("'"&amp;$B$3&amp;"'!H5")</x:f>
      </x:c>
    </x:row>
    <x:row r="13" ht="42" customHeight="1">
      <x:c r="A13" s="55" t="e">
        <x:f>INDIRECT("'"&amp;$B$3&amp;"'!A6")</x:f>
      </x:c>
      <x:c r="B13" t="e">
        <x:f>INDIRECT("'"&amp;$B$3&amp;"'!B6")</x:f>
      </x:c>
      <x:c r="C13" t="e">
        <x:f>INDIRECT("'"&amp;$B$3&amp;"'!C6")</x:f>
      </x:c>
      <x:c r="D13" t="e">
        <x:f>INDIRECT("'"&amp;$B$3&amp;"'!D6")</x:f>
      </x:c>
      <x:c r="E13" s="23" t="e">
        <x:f>INDIRECT("'"&amp;$B$3&amp;"'!E6")</x:f>
      </x:c>
      <x:c r="F13" t="e">
        <x:f>INDIRECT("'"&amp;$B$3&amp;"'!F6")</x:f>
      </x:c>
      <x:c r="G13" s="27" t="e">
        <x:f>INDIRECT("'"&amp;$B$3&amp;"'!G6")</x:f>
      </x:c>
      <x:c r="H13" s="56" t="e">
        <x:f>INDIRECT("'"&amp;$B$3&amp;"'!H6")</x:f>
      </x:c>
    </x:row>
    <x:row r="14" ht="42" customHeight="1">
      <x:c r="A14" s="55" t="e">
        <x:f>INDIRECT("'"&amp;$B$3&amp;"'!A7")</x:f>
      </x:c>
      <x:c r="B14" t="e">
        <x:f>INDIRECT("'"&amp;$B$3&amp;"'!B7")</x:f>
      </x:c>
      <x:c r="C14" t="e">
        <x:f>INDIRECT("'"&amp;$B$3&amp;"'!C7")</x:f>
      </x:c>
      <x:c r="D14" t="e">
        <x:f>INDIRECT("'"&amp;$B$3&amp;"'!D7")</x:f>
      </x:c>
      <x:c r="E14" s="23" t="e">
        <x:f>INDIRECT("'"&amp;$B$3&amp;"'!E7")</x:f>
      </x:c>
      <x:c r="F14" t="e">
        <x:f>INDIRECT("'"&amp;$B$3&amp;"'!F7")</x:f>
      </x:c>
      <x:c r="G14" s="27" t="e">
        <x:f>INDIRECT("'"&amp;$B$3&amp;"'!G7")</x:f>
      </x:c>
      <x:c r="H14" s="56" t="e">
        <x:f>INDIRECT("'"&amp;$B$3&amp;"'!H7")</x:f>
      </x:c>
    </x:row>
    <x:row r="15" ht="42" customHeight="1">
      <x:c r="A15" s="55" t="e">
        <x:f>INDIRECT("'"&amp;$B$3&amp;"'!A8")</x:f>
      </x:c>
      <x:c r="B15" t="e">
        <x:f>INDIRECT("'"&amp;$B$3&amp;"'!B8")</x:f>
      </x:c>
      <x:c r="C15" t="e">
        <x:f>INDIRECT("'"&amp;$B$3&amp;"'!C8")</x:f>
      </x:c>
      <x:c r="D15" t="e">
        <x:f>INDIRECT("'"&amp;$B$3&amp;"'!D8")</x:f>
      </x:c>
      <x:c r="E15" s="23" t="e">
        <x:f>INDIRECT("'"&amp;$B$3&amp;"'!E8")</x:f>
      </x:c>
      <x:c r="F15" t="e">
        <x:f>INDIRECT("'"&amp;$B$3&amp;"'!F8")</x:f>
      </x:c>
      <x:c r="G15" s="27" t="e">
        <x:f>INDIRECT("'"&amp;$B$3&amp;"'!G8")</x:f>
      </x:c>
      <x:c r="H15" s="56" t="e">
        <x:f>INDIRECT("'"&amp;$B$3&amp;"'!H8")</x:f>
      </x:c>
    </x:row>
    <x:row r="16" ht="42" customHeight="1">
      <x:c r="A16" s="57" t="e">
        <x:f>INDIRECT("'"&amp;$B$3&amp;"'!A9")</x:f>
      </x:c>
      <x:c r="B16" s="58" t="e">
        <x:f>INDIRECT("'"&amp;$B$3&amp;"'!B9")</x:f>
      </x:c>
      <x:c r="C16" s="58" t="e">
        <x:f>INDIRECT("'"&amp;$B$3&amp;"'!C9")</x:f>
      </x:c>
      <x:c r="D16" s="58" t="e">
        <x:f>INDIRECT("'"&amp;$B$3&amp;"'!D9")</x:f>
      </x:c>
      <x:c r="E16" s="59" t="e">
        <x:f>INDIRECT("'"&amp;$B$3&amp;"'!E9")</x:f>
      </x:c>
      <x:c r="F16" s="58" t="e">
        <x:f>INDIRECT("'"&amp;$B$3&amp;"'!F9")</x:f>
      </x:c>
      <x:c r="G16" s="60" t="e">
        <x:f>INDIRECT("'"&amp;$B$3&amp;"'!G9")</x:f>
      </x:c>
      <x:c r="H16" s="61" t="e">
        <x:f>INDIRECT("'"&amp;$B$3&amp;"'!H9")</x:f>
      </x:c>
    </x:row>
    <x:row r="19" ht="15">
      <x:c r="A19" s="69" t="s">
        <x:v>74</x:v>
      </x:c>
      <x:c r="B19" s="69"/>
      <x:c r="C19" s="69"/>
      <x:c r="D19" s="69"/>
      <x:c r="E19" s="69"/>
      <x:c r="F19" s="69"/>
      <x:c r="G19" s="69"/>
      <x:c r="H19" s="69"/>
    </x:row>
    <x:row r="20">
      <x:c r="A20" s="70" t="e">
        <x:f>"iteration: "&amp;B3&amp;CHAR(10)&amp;"software_version: "&amp;B6&amp;CHAR(10)&amp;"assessment_date: "&amp;TEXT(B7,"yyyy-mm-dd")&amp;CHAR(10)&amp;"overall_assessment_score: "&amp;TEXT(B8,"0.00")&amp;CHAR(10)&amp;"renders:"&amp;CHAR(10)&amp;"  - render: "&amp;A11&amp;CHAR(10)&amp;"    required_deliverables: "&amp;B11&amp;CHAR(10)&amp;"    actual_deliverables: "&amp;C11&amp;CHAR(10)&amp;"    failed_deliverables: ["&amp;D11&amp;"]"&amp;CHAR(10)&amp;"    deliverable_score: "&amp;TEXT(E11,"0.0000")&amp;CHAR(10)&amp;"    visual_appeal_rating: "&amp;F11&amp;CHAR(10)&amp;"    rating_reasoning: "&amp;G11&amp;CHAR(10)&amp;"    assessment_score: "&amp;TEXT(H11,"0.00")&amp;CHAR(10)&amp;"  - render: "&amp;A12&amp;CHAR(10)&amp;"    required_deliverables: "&amp;B12&amp;CHAR(10)&amp;"    actual_deliverables: "&amp;C12&amp;CHAR(10)&amp;"    failed_deliverables: ["&amp;D12&amp;"]"&amp;CHAR(10)&amp;"    deliverable_score: "&amp;TEXT(E12,"0.0000")&amp;CHAR(10)&amp;"    visual_appeal_rating: "&amp;F12&amp;CHAR(10)&amp;"    rating_reasoning: "&amp;G12&amp;CHAR(10)&amp;"    assessment_score: "&amp;TEXT(H12,"0.00")&amp;CHAR(10)&amp;"  - render: "&amp;A13&amp;CHAR(10)&amp;"    required_deliverables: "&amp;B13&amp;CHAR(10)&amp;"    actual_deliverables: "&amp;C13&amp;CHAR(10)&amp;"    failed_deliverables: ["&amp;D13&amp;"]"&amp;CHAR(10)&amp;"    deliverable_score: "&amp;TEXT(E13,"0.0000")&amp;CHAR(10)&amp;"    visual_appeal_rating: "&amp;F13&amp;CHAR(10)&amp;"    rating_reasoning: "&amp;G13&amp;CHAR(10)&amp;"    assessment_score: "&amp;TEXT(H13,"0.00")&amp;CHAR(10)&amp;"  - render: "&amp;A14&amp;CHAR(10)&amp;"    required_deliverables: "&amp;B14&amp;CHAR(10)&amp;"    actual_deliverables: "&amp;C14&amp;CHAR(10)&amp;"    failed_deliverables: ["&amp;D14&amp;"]"&amp;CHAR(10)&amp;"    deliverable_score: "&amp;TEXT(E14,"0.0000")&amp;CHAR(10)&amp;"    visual_appeal_rating: "&amp;F14&amp;CHAR(10)&amp;"    rating_reasoning: "&amp;G14&amp;CHAR(10)&amp;"    assessment_score: "&amp;TEXT(H14,"0.00")&amp;CHAR(10)&amp;"  - render: "&amp;A15&amp;CHAR(10)&amp;"    required_deliverables: "&amp;B15&amp;CHAR(10)&amp;"    actual_deliverables: "&amp;C15&amp;CHAR(10)&amp;"    failed_deliverables: ["&amp;D15&amp;"]"&amp;CHAR(10)&amp;"    deliverable_score: "&amp;TEXT(E15,"0.0000")&amp;CHAR(10)&amp;"    visual_appeal_rating: "&amp;F15&amp;CHAR(10)&amp;"    rating_reasoning: "&amp;G15&amp;CHAR(10)&amp;"    assessment_score: "&amp;TEXT(H15,"0.00")&amp;CHAR(10)&amp;"  - render: "&amp;A16&amp;CHAR(10)&amp;"    required_deliverables: "&amp;B16&amp;CHAR(10)&amp;"    actual_deliverables: "&amp;C16&amp;CHAR(10)&amp;"    failed_deliverables: ["&amp;D16&amp;"]"&amp;CHAR(10)&amp;"    deliverable_score: "&amp;TEXT(E16,"0.0000")&amp;CHAR(10)&amp;"    visual_appeal_rating: "&amp;F16&amp;CHAR(10)&amp;"    rating_reasoning: "&amp;G16&amp;CHAR(10)&amp;"    assessment_score: "&amp;TEXT(H16,"0.00")&amp;CHAR(10)</x:f>
      </x:c>
      <x:c r="B20" s="70"/>
      <x:c r="C20" s="70"/>
      <x:c r="D20" s="70"/>
      <x:c r="E20" s="70"/>
      <x:c r="F20" s="70"/>
      <x:c r="G20" s="70"/>
      <x:c r="H20" s="70"/>
    </x:row>
    <x:row r="21">
      <x:c r="A21" s="70"/>
      <x:c r="B21" s="70"/>
      <x:c r="C21" s="70"/>
      <x:c r="D21" s="70"/>
      <x:c r="E21" s="70"/>
      <x:c r="F21" s="70"/>
      <x:c r="G21" s="70"/>
      <x:c r="H21" s="70"/>
    </x:row>
    <x:row r="22">
      <x:c r="A22" s="70"/>
      <x:c r="B22" s="70"/>
      <x:c r="C22" s="70"/>
      <x:c r="D22" s="70"/>
      <x:c r="E22" s="70"/>
      <x:c r="F22" s="70"/>
      <x:c r="G22" s="70"/>
      <x:c r="H22" s="70"/>
    </x:row>
    <x:row r="23">
      <x:c r="A23" s="70"/>
      <x:c r="B23" s="70"/>
      <x:c r="C23" s="70"/>
      <x:c r="D23" s="70"/>
      <x:c r="E23" s="70"/>
      <x:c r="F23" s="70"/>
      <x:c r="G23" s="70"/>
      <x:c r="H23" s="70"/>
    </x:row>
    <x:row r="24">
      <x:c r="A24" s="70"/>
      <x:c r="B24" s="70"/>
      <x:c r="C24" s="70"/>
      <x:c r="D24" s="70"/>
      <x:c r="E24" s="70"/>
      <x:c r="F24" s="70"/>
      <x:c r="G24" s="70"/>
      <x:c r="H24" s="70"/>
    </x:row>
    <x:row r="25">
      <x:c r="A25" s="70"/>
      <x:c r="B25" s="70"/>
      <x:c r="C25" s="70"/>
      <x:c r="D25" s="70"/>
      <x:c r="E25" s="70"/>
      <x:c r="F25" s="70"/>
      <x:c r="G25" s="70"/>
      <x:c r="H25" s="70"/>
    </x:row>
    <x:row r="26">
      <x:c r="A26" s="70"/>
      <x:c r="B26" s="70"/>
      <x:c r="C26" s="70"/>
      <x:c r="D26" s="70"/>
      <x:c r="E26" s="70"/>
      <x:c r="F26" s="70"/>
      <x:c r="G26" s="70"/>
      <x:c r="H26" s="70"/>
    </x:row>
    <x:row r="27">
      <x:c r="A27" s="70"/>
      <x:c r="B27" s="70"/>
      <x:c r="C27" s="70"/>
      <x:c r="D27" s="70"/>
      <x:c r="E27" s="70"/>
      <x:c r="F27" s="70"/>
      <x:c r="G27" s="70"/>
      <x:c r="H27" s="70"/>
    </x:row>
    <x:row r="28">
      <x:c r="A28" s="70"/>
      <x:c r="B28" s="70"/>
      <x:c r="C28" s="70"/>
      <x:c r="D28" s="70"/>
      <x:c r="E28" s="70"/>
      <x:c r="F28" s="70"/>
      <x:c r="G28" s="70"/>
      <x:c r="H28" s="70"/>
    </x:row>
    <x:row r="29">
      <x:c r="A29" s="70"/>
      <x:c r="B29" s="70"/>
      <x:c r="C29" s="70"/>
      <x:c r="D29" s="70"/>
      <x:c r="E29" s="70"/>
      <x:c r="F29" s="70"/>
      <x:c r="G29" s="70"/>
      <x:c r="H29" s="70"/>
    </x:row>
    <x:row r="30">
      <x:c r="A30" s="70"/>
      <x:c r="B30" s="70"/>
      <x:c r="C30" s="70"/>
      <x:c r="D30" s="70"/>
      <x:c r="E30" s="70"/>
      <x:c r="F30" s="70"/>
      <x:c r="G30" s="70"/>
      <x:c r="H30" s="70"/>
    </x:row>
    <x:row r="31">
      <x:c r="A31" s="70"/>
      <x:c r="B31" s="70"/>
      <x:c r="C31" s="70"/>
      <x:c r="D31" s="70"/>
      <x:c r="E31" s="70"/>
      <x:c r="F31" s="70"/>
      <x:c r="G31" s="70"/>
      <x:c r="H31" s="70"/>
    </x:row>
    <x:row r="32">
      <x:c r="A32" s="70"/>
      <x:c r="B32" s="70"/>
      <x:c r="C32" s="70"/>
      <x:c r="D32" s="70"/>
      <x:c r="E32" s="70"/>
      <x:c r="F32" s="70"/>
      <x:c r="G32" s="70"/>
      <x:c r="H32" s="70"/>
    </x:row>
    <x:row r="33">
      <x:c r="A33" s="70"/>
      <x:c r="B33" s="70"/>
      <x:c r="C33" s="70"/>
      <x:c r="D33" s="70"/>
      <x:c r="E33" s="70"/>
      <x:c r="F33" s="70"/>
      <x:c r="G33" s="70"/>
      <x:c r="H33" s="70"/>
    </x:row>
    <x:row r="34">
      <x:c r="A34" s="70"/>
      <x:c r="B34" s="70"/>
      <x:c r="C34" s="70"/>
      <x:c r="D34" s="70"/>
      <x:c r="E34" s="70"/>
      <x:c r="F34" s="70"/>
      <x:c r="G34" s="70"/>
      <x:c r="H34" s="70"/>
    </x:row>
    <x:row r="36">
      <x:c r="A36" s="71" t="s">
        <x:v>75</x:v>
      </x:c>
      <x:c r="B36" s="71"/>
      <x:c r="C36" s="71"/>
      <x:c r="D36" s="71"/>
      <x:c r="E36" s="71"/>
      <x:c r="F36" s="71"/>
      <x:c r="G36" s="71"/>
      <x:c r="H36" s="71"/>
    </x:row>
    <x:row r="37">
      <x:c r="A37" s="71"/>
      <x:c r="B37" s="71"/>
      <x:c r="C37" s="71"/>
      <x:c r="D37" s="71"/>
      <x:c r="E37" s="71"/>
      <x:c r="F37" s="71"/>
      <x:c r="G37" s="71"/>
      <x:c r="H37" s="71"/>
    </x:row>
  </x:sheetData>
  <x:mergeCells>
    <x:mergeCell ref="A1:H1"/>
    <x:mergeCell ref="A19:H19"/>
    <x:mergeCell ref="A20:H34"/>
    <x:mergeCell ref="A36:H37"/>
  </x:mergeCells>
  <x:dataValidations count="1">
    <x:dataValidation type="list" sqref="B3">
      <x:formula1>"Iteration 1,Iteration 2,Iteration 3,Iteration 4,Iteration 5"</x:formula1>
    </x:dataValidation>
  </x:dataValidations>
  <x:pageMargins left="0.7" right="0.7" top="0.75" bottom="0.75" header="0.3" footer="0.3"/>
</x:worksheet>
</file>